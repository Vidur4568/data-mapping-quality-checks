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showInkAnnotation="0" autoCompressPictures="0"/>
  <xr:revisionPtr revIDLastSave="0" documentId="8_{E90F784A-287D-468E-8D64-9116795B6322}" xr6:coauthVersionLast="47" xr6:coauthVersionMax="47" xr10:uidLastSave="{00000000-0000-0000-0000-000000000000}"/>
  <bookViews>
    <workbookView xWindow="0" yWindow="0" windowWidth="0" windowHeight="0" firstSheet="14" activeTab="14" xr2:uid="{00000000-000D-0000-FFFF-FFFF00000000}"/>
  </bookViews>
  <sheets>
    <sheet name="README" sheetId="1" r:id="rId1"/>
    <sheet name="Dashboard" sheetId="2" r:id="rId2"/>
    <sheet name="Source System Inventory" sheetId="3" r:id="rId3"/>
    <sheet name="Source Data Dictionary" sheetId="4" r:id="rId4"/>
    <sheet name="Target Data Dictionary" sheetId="5" r:id="rId5"/>
    <sheet name="Business Glossary" sheetId="6" r:id="rId6"/>
    <sheet name="Critical Data Elements" sheetId="7" r:id="rId7"/>
    <sheet name="Source-to-Target Mapping" sheetId="8" r:id="rId8"/>
    <sheet name="Transformation Rules" sheetId="9" r:id="rId9"/>
    <sheet name="Code Lookup Crosswalk" sheetId="10" r:id="rId10"/>
    <sheet name="Data Quality Rules" sheetId="11" r:id="rId11"/>
    <sheet name="Reconciliation Rules" sheetId="12" r:id="rId12"/>
    <sheet name="Issues Decisions Log" sheetId="13" r:id="rId13"/>
    <sheet name="Signoff Tracker" sheetId="14" r:id="rId14"/>
    <sheet name="Lists" sheetId="15" r:id="rId1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H13" i="2"/>
  <c r="G13" i="2"/>
  <c r="F13" i="2"/>
  <c r="J13" i="2" s="1"/>
  <c r="I12" i="2"/>
  <c r="H12" i="2"/>
  <c r="G12" i="2"/>
  <c r="F12" i="2"/>
  <c r="J12" i="2" s="1"/>
  <c r="I11" i="2"/>
  <c r="H11" i="2"/>
  <c r="G11" i="2"/>
  <c r="F11" i="2"/>
  <c r="J11" i="2" s="1"/>
  <c r="B11" i="2"/>
  <c r="I10" i="2"/>
  <c r="H10" i="2"/>
  <c r="G10" i="2"/>
  <c r="F10" i="2"/>
  <c r="J10" i="2" s="1"/>
  <c r="B10" i="2"/>
  <c r="I9" i="2"/>
  <c r="H9" i="2"/>
  <c r="G9" i="2"/>
  <c r="F9" i="2"/>
  <c r="J9" i="2" s="1"/>
  <c r="B9" i="2"/>
  <c r="I8" i="2"/>
  <c r="H8" i="2"/>
  <c r="G8" i="2"/>
  <c r="F8" i="2"/>
  <c r="J8" i="2" s="1"/>
  <c r="B8" i="2"/>
  <c r="I7" i="2"/>
  <c r="H7" i="2"/>
  <c r="G7" i="2"/>
  <c r="F7" i="2"/>
  <c r="J7" i="2" s="1"/>
  <c r="B7" i="2"/>
  <c r="I6" i="2"/>
  <c r="H6" i="2"/>
  <c r="G6" i="2"/>
  <c r="F6" i="2"/>
  <c r="J6" i="2" s="1"/>
  <c r="B6" i="2"/>
  <c r="I5" i="2"/>
  <c r="H5" i="2"/>
  <c r="G5" i="2"/>
  <c r="F5" i="2"/>
  <c r="J5" i="2" s="1"/>
  <c r="B5" i="2"/>
</calcChain>
</file>

<file path=xl/sharedStrings.xml><?xml version="1.0" encoding="utf-8"?>
<sst xmlns="http://schemas.openxmlformats.org/spreadsheetml/2006/main" count="2845" uniqueCount="1251">
  <si>
    <t>Mortgage Servicing Migration - Metadata &amp; Data Mapping Workbook</t>
  </si>
  <si>
    <t>Spreadsheet-based metadata repository for migration mapping, controls, rules, reconciliation, and signoff.</t>
  </si>
  <si>
    <t>Section</t>
  </si>
  <si>
    <t>Purpose</t>
  </si>
  <si>
    <t>How to Use</t>
  </si>
  <si>
    <t>Source System Inventory</t>
  </si>
  <si>
    <t>Documents legacy and target systems, feeds, reports, and owners.</t>
  </si>
  <si>
    <t>Identify applications, data stores, extracts, interfaces, reports, and downstream consumers.</t>
  </si>
  <si>
    <t>Source Data Dictionary</t>
  </si>
  <si>
    <t>Captures physical source metadata and business meaning.</t>
  </si>
  <si>
    <t>Populate field-level metadata from the legacy servicing platform and related systems.</t>
  </si>
  <si>
    <t>Target Data Dictionary</t>
  </si>
  <si>
    <t>Captures target entities, fields, constraints, and allowed values.</t>
  </si>
  <si>
    <t>Use target vendor/API/data model documentation to populate required fields.</t>
  </si>
  <si>
    <t>Business Glossary</t>
  </si>
  <si>
    <t>Standardizes mortgage servicing terms.</t>
  </si>
  <si>
    <t>Resolve conflicting meanings such as UPB, due date, delinquency status, and suspense.</t>
  </si>
  <si>
    <t>Critical Data Elements</t>
  </si>
  <si>
    <t>Prioritizes high-risk fields for stronger controls.</t>
  </si>
  <si>
    <t>Classify by criticality, sensitivity, regulatory impact, DQ, and reconciliation needs.</t>
  </si>
  <si>
    <t>Source-to-Target Mapping</t>
  </si>
  <si>
    <t>Core field-level mapping matrix.</t>
  </si>
  <si>
    <t>Link each mapping row to transformation, DQ, reconciliation, issue, and signoff evidence.</t>
  </si>
  <si>
    <t>Transformation Rules</t>
  </si>
  <si>
    <t>Documents conversion logic.</t>
  </si>
  <si>
    <t>Create reusable rule IDs for calculations, lookups, defaults, and survivorship.</t>
  </si>
  <si>
    <t>Code Lookup Crosswalk</t>
  </si>
  <si>
    <t>Maps legacy values to target values.</t>
  </si>
  <si>
    <t>Use for payment, default, delinquency, investor, escrow, and fee codes.</t>
  </si>
  <si>
    <t>Data Quality Rules</t>
  </si>
  <si>
    <t>Defines validation checks.</t>
  </si>
  <si>
    <t>Document required, format, range, valid value, uniqueness, and balance checks.</t>
  </si>
  <si>
    <t>Reconciliation Rules</t>
  </si>
  <si>
    <t>Defines migration proof points.</t>
  </si>
  <si>
    <t>Use counts, balances, payment totals, escrow totals, and status tie-outs.</t>
  </si>
  <si>
    <t>Issues Decisions Log</t>
  </si>
  <si>
    <t>Tracks open questions, decisions, assumptions, and risks.</t>
  </si>
  <si>
    <t>Log business rationale and approval; do not bury decisions in email.</t>
  </si>
  <si>
    <t>Signoff Tracker</t>
  </si>
  <si>
    <t>Tracks approvals and conditions.</t>
  </si>
  <si>
    <t>Use for readiness reporting and cutover evidence.</t>
  </si>
  <si>
    <t>Metadata &amp; Data Mapping Dashboard</t>
  </si>
  <si>
    <t>Summary view for mapping progress, critical fields, approvals, issues, and readiness.</t>
  </si>
  <si>
    <t>Metric</t>
  </si>
  <si>
    <t>Value</t>
  </si>
  <si>
    <t>Formula / Source</t>
  </si>
  <si>
    <t>Data Domain</t>
  </si>
  <si>
    <t>Total Mappings</t>
  </si>
  <si>
    <t>Approved</t>
  </si>
  <si>
    <t>Implemented</t>
  </si>
  <si>
    <t>Tested</t>
  </si>
  <si>
    <t>Open</t>
  </si>
  <si>
    <t>Count of mapping IDs</t>
  </si>
  <si>
    <t>Loan</t>
  </si>
  <si>
    <t>Approved Mappings</t>
  </si>
  <si>
    <t>Status = Approved</t>
  </si>
  <si>
    <t>Borrower</t>
  </si>
  <si>
    <t>Implemented Mappings</t>
  </si>
  <si>
    <t>Status = Implemented</t>
  </si>
  <si>
    <t>Property</t>
  </si>
  <si>
    <t>Tested Mappings</t>
  </si>
  <si>
    <t>Status = Tested</t>
  </si>
  <si>
    <t>Payment</t>
  </si>
  <si>
    <t>Open Critical CDEs</t>
  </si>
  <si>
    <t>Tier 1 or Tier 2 and status not Approved/Tested</t>
  </si>
  <si>
    <t>Escrow</t>
  </si>
  <si>
    <t>Open High Issues</t>
  </si>
  <si>
    <t>Severity = High and status not Closed</t>
  </si>
  <si>
    <t>Investor</t>
  </si>
  <si>
    <t>Count of reconciliation rules</t>
  </si>
  <si>
    <t>Default</t>
  </si>
  <si>
    <t>Compliance</t>
  </si>
  <si>
    <t>Communication</t>
  </si>
  <si>
    <t>Inventory of source, target, supporting applications, databases, extracts, reports, and interfaces.</t>
  </si>
  <si>
    <t>System ID</t>
  </si>
  <si>
    <t>System Name</t>
  </si>
  <si>
    <t>System Type</t>
  </si>
  <si>
    <t>Business Capability</t>
  </si>
  <si>
    <t>Owner</t>
  </si>
  <si>
    <t>SME</t>
  </si>
  <si>
    <t>Data Store / Interface</t>
  </si>
  <si>
    <t>Data Sensitivity</t>
  </si>
  <si>
    <t>Migration Role</t>
  </si>
  <si>
    <t>Downstream Consumers</t>
  </si>
  <si>
    <t>Notes</t>
  </si>
  <si>
    <t>SYS-001</t>
  </si>
  <si>
    <t>Legacy Servicing Platform</t>
  </si>
  <si>
    <t>Application/DB</t>
  </si>
  <si>
    <t>Core servicing</t>
  </si>
  <si>
    <t>Servicing Ops</t>
  </si>
  <si>
    <t>Sarah Kim</t>
  </si>
  <si>
    <t>DB tables, nightly extracts</t>
  </si>
  <si>
    <t>NPI</t>
  </si>
  <si>
    <t>Source</t>
  </si>
  <si>
    <t>Reporting, investor reporting, call center</t>
  </si>
  <si>
    <t>Primary migration source</t>
  </si>
  <si>
    <t>SYS-002</t>
  </si>
  <si>
    <t>Payment Processor</t>
  </si>
  <si>
    <t>Application/API</t>
  </si>
  <si>
    <t>Payment processing</t>
  </si>
  <si>
    <t>Payment Ops</t>
  </si>
  <si>
    <t>Michael Chen</t>
  </si>
  <si>
    <t>Files/API</t>
  </si>
  <si>
    <t>Source/Reference</t>
  </si>
  <si>
    <t>Servicing platform, finance</t>
  </si>
  <si>
    <t>Confirm payment data handling</t>
  </si>
  <si>
    <t>SYS-003</t>
  </si>
  <si>
    <t>Document Imaging</t>
  </si>
  <si>
    <t>Content Repository</t>
  </si>
  <si>
    <t>Notices and correspondence</t>
  </si>
  <si>
    <t>Customer Ops</t>
  </si>
  <si>
    <t>Emily Davis</t>
  </si>
  <si>
    <t>Documents/metadata</t>
  </si>
  <si>
    <t>Source/Archive</t>
  </si>
  <si>
    <t>Compliance, customer service</t>
  </si>
  <si>
    <t>May require metadata-only mapping</t>
  </si>
  <si>
    <t>SYS-004</t>
  </si>
  <si>
    <t>Customer Portal</t>
  </si>
  <si>
    <t>Web Application</t>
  </si>
  <si>
    <t>Customer Self-Service</t>
  </si>
  <si>
    <t>Digital Banking</t>
  </si>
  <si>
    <t>James Patel</t>
  </si>
  <si>
    <t>REST API</t>
  </si>
  <si>
    <t>PII</t>
  </si>
  <si>
    <t>Customer Service</t>
  </si>
  <si>
    <t>Migrate customer preferences</t>
  </si>
  <si>
    <t>SYS-005</t>
  </si>
  <si>
    <t>Escrow Management</t>
  </si>
  <si>
    <t>Application</t>
  </si>
  <si>
    <t>Escrow Administration</t>
  </si>
  <si>
    <t>Escrow Ops</t>
  </si>
  <si>
    <t>Jessica Lee</t>
  </si>
  <si>
    <t>SQL Database</t>
  </si>
  <si>
    <t>Financial</t>
  </si>
  <si>
    <t>Finance</t>
  </si>
  <si>
    <t>Validate escrow balances</t>
  </si>
  <si>
    <t>SYS-006</t>
  </si>
  <si>
    <t>Investor Reporting</t>
  </si>
  <si>
    <t>Reporting Platform</t>
  </si>
  <si>
    <t>David Wilson</t>
  </si>
  <si>
    <t>Data Warehouse</t>
  </si>
  <si>
    <t>Reference</t>
  </si>
  <si>
    <t>Investors</t>
  </si>
  <si>
    <t>Historical reporting data</t>
  </si>
  <si>
    <t>SYS-007</t>
  </si>
  <si>
    <t>Loan Origination System</t>
  </si>
  <si>
    <t>Loan Origination</t>
  </si>
  <si>
    <t>Lending Ops</t>
  </si>
  <si>
    <t>Sophia Martinez</t>
  </si>
  <si>
    <t>Oracle Database</t>
  </si>
  <si>
    <t>Underwriting</t>
  </si>
  <si>
    <t>Historical loan information</t>
  </si>
  <si>
    <t>SYS-008</t>
  </si>
  <si>
    <t>CRM Platform</t>
  </si>
  <si>
    <t>SaaS Application</t>
  </si>
  <si>
    <t>Customer Relationship Management</t>
  </si>
  <si>
    <t>Customer Success</t>
  </si>
  <si>
    <t>Ethan Walker</t>
  </si>
  <si>
    <t>Cloud API</t>
  </si>
  <si>
    <t>Target</t>
  </si>
  <si>
    <t>Customer Support</t>
  </si>
  <si>
    <t>Receives migrated customer records</t>
  </si>
  <si>
    <t>Physical and business metadata for legacy servicing platform and related source data.</t>
  </si>
  <si>
    <t>Source Field ID</t>
  </si>
  <si>
    <t>Source System</t>
  </si>
  <si>
    <t>Database/File/API</t>
  </si>
  <si>
    <t>Table/Object</t>
  </si>
  <si>
    <t>Column/Field</t>
  </si>
  <si>
    <t>Business Name</t>
  </si>
  <si>
    <t>Business Definition</t>
  </si>
  <si>
    <t>Data Type</t>
  </si>
  <si>
    <t>Length</t>
  </si>
  <si>
    <t>Nullable</t>
  </si>
  <si>
    <t>Valid Values / Domain</t>
  </si>
  <si>
    <t>Sample Value</t>
  </si>
  <si>
    <t>Known Data Quality Notes</t>
  </si>
  <si>
    <t>Owner/SME</t>
  </si>
  <si>
    <t>SRC-0001</t>
  </si>
  <si>
    <t>SERVDB</t>
  </si>
  <si>
    <t>LOAN_MASTER</t>
  </si>
  <si>
    <t>LOAN_NBR</t>
  </si>
  <si>
    <t>Loan Number</t>
  </si>
  <si>
    <t>Primary servicing loan identifier</t>
  </si>
  <si>
    <t>VARCHAR</t>
  </si>
  <si>
    <t>No</t>
  </si>
  <si>
    <t>Unique loan number</t>
  </si>
  <si>
    <t>Must be unique</t>
  </si>
  <si>
    <t>SRC-0002</t>
  </si>
  <si>
    <t>LOAN_BALANCE</t>
  </si>
  <si>
    <t>UPB_AMT</t>
  </si>
  <si>
    <t>Unpaid Principal Balance</t>
  </si>
  <si>
    <t>Current unpaid principal balance as of processing date</t>
  </si>
  <si>
    <t>DECIMAL</t>
  </si>
  <si>
    <t>18,2</t>
  </si>
  <si>
    <t>Positive decimal</t>
  </si>
  <si>
    <t>Confidential</t>
  </si>
  <si>
    <t>Balance must reconcile</t>
  </si>
  <si>
    <t>SRC-0003</t>
  </si>
  <si>
    <t>PAYMENT_TXN</t>
  </si>
  <si>
    <t>TXN_CD</t>
  </si>
  <si>
    <t>Payment Transaction Code</t>
  </si>
  <si>
    <t>Legacy code representing payment transaction type</t>
  </si>
  <si>
    <t>See code crosswalk</t>
  </si>
  <si>
    <t>PMT</t>
  </si>
  <si>
    <t>Internal</t>
  </si>
  <si>
    <t>Requires target value mapping</t>
  </si>
  <si>
    <t>SRC-0004</t>
  </si>
  <si>
    <t>CUSTOMER</t>
  </si>
  <si>
    <t>CUST_ID</t>
  </si>
  <si>
    <t>Customer ID</t>
  </si>
  <si>
    <t>Unique customer identifier in legacy system</t>
  </si>
  <si>
    <t>Unique customer ID</t>
  </si>
  <si>
    <t>C100234</t>
  </si>
  <si>
    <t>Check for duplicate IDs</t>
  </si>
  <si>
    <t>SRC-0005</t>
  </si>
  <si>
    <t>FIRST_NAME</t>
  </si>
  <si>
    <t>First Name</t>
  </si>
  <si>
    <t>Customer legal first name</t>
  </si>
  <si>
    <t>Alphabetic</t>
  </si>
  <si>
    <t>John</t>
  </si>
  <si>
    <t>Trim extra spaces</t>
  </si>
  <si>
    <t>SRC-0006</t>
  </si>
  <si>
    <t>LAST_NAME</t>
  </si>
  <si>
    <t>Last Name</t>
  </si>
  <si>
    <t>Customer legal last name</t>
  </si>
  <si>
    <t>Smith</t>
  </si>
  <si>
    <t>SRC-0007</t>
  </si>
  <si>
    <t>DOB</t>
  </si>
  <si>
    <t>Date of Birth</t>
  </si>
  <si>
    <t>Customer date of birth</t>
  </si>
  <si>
    <t>DATE</t>
  </si>
  <si>
    <t>Yes</t>
  </si>
  <si>
    <t>Valid date</t>
  </si>
  <si>
    <t>Some invalid dates found</t>
  </si>
  <si>
    <t>SRC-0008</t>
  </si>
  <si>
    <t>EMAIL</t>
  </si>
  <si>
    <t>Email Address</t>
  </si>
  <si>
    <t>Customer email address</t>
  </si>
  <si>
    <t>Valid email format</t>
  </si>
  <si>
    <t>john.email.com</t>
  </si>
  <si>
    <t>Invalid email format example</t>
  </si>
  <si>
    <t>SRC-0009</t>
  </si>
  <si>
    <t>PHONE</t>
  </si>
  <si>
    <t>Phone Number</t>
  </si>
  <si>
    <t>Primary customer phone number</t>
  </si>
  <si>
    <t>Phone number format</t>
  </si>
  <si>
    <t>Inconsistent formatting</t>
  </si>
  <si>
    <t>SRC-0010</t>
  </si>
  <si>
    <t>LOAN_STATUS</t>
  </si>
  <si>
    <t>Loan Status</t>
  </si>
  <si>
    <t>Current servicing status of the loan</t>
  </si>
  <si>
    <t>Active, Closed, Delinquent</t>
  </si>
  <si>
    <t>A</t>
  </si>
  <si>
    <t>Legacy status codes inconsistent</t>
  </si>
  <si>
    <t>SRC-0011</t>
  </si>
  <si>
    <t>INTEREST_RATE</t>
  </si>
  <si>
    <t>Interest Rate</t>
  </si>
  <si>
    <t>Current loan interest rate</t>
  </si>
  <si>
    <t>5,2</t>
  </si>
  <si>
    <t>Validate precision</t>
  </si>
  <si>
    <t>SRC-0012</t>
  </si>
  <si>
    <t>ESCROW</t>
  </si>
  <si>
    <t>ESCROW_BAL</t>
  </si>
  <si>
    <t>Escrow Balance</t>
  </si>
  <si>
    <t>Current escrow account balance</t>
  </si>
  <si>
    <t>Reconcile with escrow records</t>
  </si>
  <si>
    <t>SRC-0013</t>
  </si>
  <si>
    <t>PROPERTY</t>
  </si>
  <si>
    <t>PROPERTY_ADDR</t>
  </si>
  <si>
    <t>Property Address</t>
  </si>
  <si>
    <t>Street address of secured property</t>
  </si>
  <si>
    <t>Valid address</t>
  </si>
  <si>
    <t>123 Main St</t>
  </si>
  <si>
    <t>Standardize abbreviations</t>
  </si>
  <si>
    <t>SRC-0014</t>
  </si>
  <si>
    <t>CITY</t>
  </si>
  <si>
    <t>Property City</t>
  </si>
  <si>
    <t>Property city name</t>
  </si>
  <si>
    <t>City name</t>
  </si>
  <si>
    <t>Dallas</t>
  </si>
  <si>
    <t>Standardize capitalization</t>
  </si>
  <si>
    <t>SRC-0015</t>
  </si>
  <si>
    <t>STATE</t>
  </si>
  <si>
    <t>Property State</t>
  </si>
  <si>
    <t>Property state abbreviation</t>
  </si>
  <si>
    <t>US state code</t>
  </si>
  <si>
    <t>Texas</t>
  </si>
  <si>
    <t>Should be 2-letter state code</t>
  </si>
  <si>
    <t>SRC-0016</t>
  </si>
  <si>
    <t>ZIP_CODE</t>
  </si>
  <si>
    <t>ZIP Code</t>
  </si>
  <si>
    <t>Property postal ZIP code</t>
  </si>
  <si>
    <t>Valid ZIP code</t>
  </si>
  <si>
    <t>Check ZIP length</t>
  </si>
  <si>
    <t>SRC-0017</t>
  </si>
  <si>
    <t>PAYMENT_API</t>
  </si>
  <si>
    <t>PAYMENT_DATE</t>
  </si>
  <si>
    <t>Payment Date</t>
  </si>
  <si>
    <t>Date payment was received</t>
  </si>
  <si>
    <t>Must not be future date</t>
  </si>
  <si>
    <t>SRC-0018</t>
  </si>
  <si>
    <t>PAYMENT_AMT</t>
  </si>
  <si>
    <t>Payment Amount</t>
  </si>
  <si>
    <t>Amount of payment received</t>
  </si>
  <si>
    <t>Must tie to payment totals</t>
  </si>
  <si>
    <t>SRC-0019</t>
  </si>
  <si>
    <t>PAYMENT_METHOD</t>
  </si>
  <si>
    <t>Payment Method</t>
  </si>
  <si>
    <t>Method used by borrower to submit payment</t>
  </si>
  <si>
    <t>ACH, Check, Card</t>
  </si>
  <si>
    <t>ACH</t>
  </si>
  <si>
    <t>Requires standard values</t>
  </si>
  <si>
    <t>SRC-0020</t>
  </si>
  <si>
    <t>REVERSAL_IND</t>
  </si>
  <si>
    <t>Reversal Indicator</t>
  </si>
  <si>
    <t>Indicates whether payment was reversed</t>
  </si>
  <si>
    <t>Y or N</t>
  </si>
  <si>
    <t>N</t>
  </si>
  <si>
    <t>Validate allowed values</t>
  </si>
  <si>
    <t>SRC-0021</t>
  </si>
  <si>
    <t>DOC_REPO</t>
  </si>
  <si>
    <t>DOCUMENT</t>
  </si>
  <si>
    <t>DOC_ID</t>
  </si>
  <si>
    <t>Document ID</t>
  </si>
  <si>
    <t>Unique document identifier</t>
  </si>
  <si>
    <t>Unique document ID</t>
  </si>
  <si>
    <t>DOC78901</t>
  </si>
  <si>
    <t>Must link to metadata</t>
  </si>
  <si>
    <t>SRC-0022</t>
  </si>
  <si>
    <t>DOC_TYPE</t>
  </si>
  <si>
    <t>Document Type</t>
  </si>
  <si>
    <t>Type of borrower document</t>
  </si>
  <si>
    <t>Statement, Notice, Letter</t>
  </si>
  <si>
    <t>Notice</t>
  </si>
  <si>
    <t>Requires document type mapping</t>
  </si>
  <si>
    <t>SRC-0023</t>
  </si>
  <si>
    <t>DOC_DATE</t>
  </si>
  <si>
    <t>Document Date</t>
  </si>
  <si>
    <t>Date document was created</t>
  </si>
  <si>
    <t>Some missing dates</t>
  </si>
  <si>
    <t>SRC-0024</t>
  </si>
  <si>
    <t>MAILING_ADDR</t>
  </si>
  <si>
    <t>Mailing Address</t>
  </si>
  <si>
    <t>456 Oak Ave</t>
  </si>
  <si>
    <t>Missing business definition</t>
  </si>
  <si>
    <t>SRC-0025</t>
  </si>
  <si>
    <t>CUSTOMER_TYPE</t>
  </si>
  <si>
    <t>Customer Type</t>
  </si>
  <si>
    <t>Identifies borrower or co-borrower role</t>
  </si>
  <si>
    <t>Borrower, Co-Borrower</t>
  </si>
  <si>
    <t>SRC-0026</t>
  </si>
  <si>
    <t>MATURITY_DATE</t>
  </si>
  <si>
    <t>Maturity Date</t>
  </si>
  <si>
    <t>Date loan is scheduled to mature</t>
  </si>
  <si>
    <t>Validate against loan terms</t>
  </si>
  <si>
    <t>Target platform metadata needed for mapping, transformation, testing, and migration build.</t>
  </si>
  <si>
    <t>Target Field ID</t>
  </si>
  <si>
    <t>Target Platform</t>
  </si>
  <si>
    <t>Target Entity/Object</t>
  </si>
  <si>
    <t>Target Field</t>
  </si>
  <si>
    <t>Target Definition</t>
  </si>
  <si>
    <t>Required?</t>
  </si>
  <si>
    <t>Allowed Values</t>
  </si>
  <si>
    <t>Default Value</t>
  </si>
  <si>
    <t>Create/Update Rule</t>
  </si>
  <si>
    <t>TGT-0001</t>
  </si>
  <si>
    <t>Modern Servicing Platform</t>
  </si>
  <si>
    <t>servicingLoanId</t>
  </si>
  <si>
    <t>Servicing Loan ID</t>
  </si>
  <si>
    <t>Unique loan identifier in target servicing platform.</t>
  </si>
  <si>
    <t>String</t>
  </si>
  <si>
    <t>20</t>
  </si>
  <si>
    <t>Created during boarding/migration</t>
  </si>
  <si>
    <t>TGT-0002</t>
  </si>
  <si>
    <t>LoanBalance</t>
  </si>
  <si>
    <t>unpaidPrincipalBalance</t>
  </si>
  <si>
    <t>Current UPB stored on target loan balance record.</t>
  </si>
  <si>
    <t>Decimal</t>
  </si>
  <si>
    <t>Loaded from approved balance source</t>
  </si>
  <si>
    <t>TGT-0003</t>
  </si>
  <si>
    <t>PaymentTransaction</t>
  </si>
  <si>
    <t>transactionType</t>
  </si>
  <si>
    <t>Payment Transaction Type</t>
  </si>
  <si>
    <t>Target normalized transaction category.</t>
  </si>
  <si>
    <t>30</t>
  </si>
  <si>
    <t>Payment, Reversal, Fee, Escrow</t>
  </si>
  <si>
    <t>Mapped using crosswalk</t>
  </si>
  <si>
    <t>TGT-0004</t>
  </si>
  <si>
    <t>borrowerID</t>
  </si>
  <si>
    <t>Borrower ID</t>
  </si>
  <si>
    <t>Unique borrower identifier</t>
  </si>
  <si>
    <t>Unique</t>
  </si>
  <si>
    <t>Created during migration</t>
  </si>
  <si>
    <t>TGT-0005</t>
  </si>
  <si>
    <t>firstName</t>
  </si>
  <si>
    <t>Borrower first name</t>
  </si>
  <si>
    <t>Loaded from source</t>
  </si>
  <si>
    <t>TGT-0006</t>
  </si>
  <si>
    <t>lastName</t>
  </si>
  <si>
    <t>Borrower last name</t>
  </si>
  <si>
    <t>TGT-0007</t>
  </si>
  <si>
    <t>dateOfBirth</t>
  </si>
  <si>
    <t>Borrower birth date</t>
  </si>
  <si>
    <t>Date</t>
  </si>
  <si>
    <t>Converted from source</t>
  </si>
  <si>
    <t>TGT-0008</t>
  </si>
  <si>
    <t>emailAddress</t>
  </si>
  <si>
    <t>Borrower email</t>
  </si>
  <si>
    <t>Valid email</t>
  </si>
  <si>
    <t>Loaded if available</t>
  </si>
  <si>
    <t>TGT-0009</t>
  </si>
  <si>
    <t>phoneNumber</t>
  </si>
  <si>
    <t>Borrower phone</t>
  </si>
  <si>
    <t>Valid phone</t>
  </si>
  <si>
    <t>Standardized during load</t>
  </si>
  <si>
    <t>TGT-0010</t>
  </si>
  <si>
    <t>loanStatus</t>
  </si>
  <si>
    <t>Current servicing status</t>
  </si>
  <si>
    <t>Active</t>
  </si>
  <si>
    <t>TGT-0011</t>
  </si>
  <si>
    <t>interestRate</t>
  </si>
  <si>
    <t>Current interest rate</t>
  </si>
  <si>
    <t>TGT-0012</t>
  </si>
  <si>
    <t>escrowBalance</t>
  </si>
  <si>
    <t>Current escrow balance</t>
  </si>
  <si>
    <t>TGT-0013</t>
  </si>
  <si>
    <t>propertyAddress</t>
  </si>
  <si>
    <t>Street address</t>
  </si>
  <si>
    <t>TGT-0014</t>
  </si>
  <si>
    <t>city</t>
  </si>
  <si>
    <t>City</t>
  </si>
  <si>
    <t>Property city</t>
  </si>
  <si>
    <t>Valid city</t>
  </si>
  <si>
    <t>TGT-0015</t>
  </si>
  <si>
    <t>stateCode</t>
  </si>
  <si>
    <t>State Code</t>
  </si>
  <si>
    <t>Two-letter state code</t>
  </si>
  <si>
    <t>US state abbreviations</t>
  </si>
  <si>
    <t>TGT-0016</t>
  </si>
  <si>
    <t>zipCode</t>
  </si>
  <si>
    <t>Property ZIP code</t>
  </si>
  <si>
    <t>Valid ZIP</t>
  </si>
  <si>
    <t>TGT-0017</t>
  </si>
  <si>
    <t>paymentDate</t>
  </si>
  <si>
    <t>Date payment posted</t>
  </si>
  <si>
    <t>TGT-0018</t>
  </si>
  <si>
    <t>paymentAmount</t>
  </si>
  <si>
    <t>Amount received</t>
  </si>
  <si>
    <t>TGT-0019</t>
  </si>
  <si>
    <t>paymentMethod</t>
  </si>
  <si>
    <t>Standard payment method</t>
  </si>
  <si>
    <t>Mapped using lookup</t>
  </si>
  <si>
    <t>TGT-0020</t>
  </si>
  <si>
    <t>reversalFlag</t>
  </si>
  <si>
    <t>Reversal Flag</t>
  </si>
  <si>
    <t>Indicates reversed payment</t>
  </si>
  <si>
    <t>Y,N</t>
  </si>
  <si>
    <t>TGT-0021</t>
  </si>
  <si>
    <t>Document</t>
  </si>
  <si>
    <t>documentID</t>
  </si>
  <si>
    <t>TGT-0022</t>
  </si>
  <si>
    <t>documentType</t>
  </si>
  <si>
    <t>Standard document classification</t>
  </si>
  <si>
    <t>TGT-0023</t>
  </si>
  <si>
    <t>documentDate</t>
  </si>
  <si>
    <t>Document creation date</t>
  </si>
  <si>
    <t>TGT-0024</t>
  </si>
  <si>
    <t>mailingAddress</t>
  </si>
  <si>
    <t>Borrower mailing address</t>
  </si>
  <si>
    <t>TGT-0025</t>
  </si>
  <si>
    <t>customerRole</t>
  </si>
  <si>
    <t>Customer Role</t>
  </si>
  <si>
    <t>Borrower or Co-Borrower</t>
  </si>
  <si>
    <t>Mapped from source</t>
  </si>
  <si>
    <t>TGT-0026</t>
  </si>
  <si>
    <t>maturityDate</t>
  </si>
  <si>
    <t>Scheduled loan maturity date</t>
  </si>
  <si>
    <t>Common servicing terminology to align business meaning across legacy, target, reporting, and operations.</t>
  </si>
  <si>
    <t>Glossary Term ID</t>
  </si>
  <si>
    <t>Business Term</t>
  </si>
  <si>
    <t>Domain</t>
  </si>
  <si>
    <t>Synonyms / Legacy Terms</t>
  </si>
  <si>
    <t>Authoritative Source</t>
  </si>
  <si>
    <t>Owner/Steward</t>
  </si>
  <si>
    <t>Approval Status</t>
  </si>
  <si>
    <t>Last Reviewed</t>
  </si>
  <si>
    <t>TERM-0001</t>
  </si>
  <si>
    <t>Outstanding principal balance owed by borrower excluding interest, fees, and escrow.</t>
  </si>
  <si>
    <t>UPB, Principal Balance</t>
  </si>
  <si>
    <t>Servicing policy / investor reporting</t>
  </si>
  <si>
    <t>Confirm investor-specific reporting usage</t>
  </si>
  <si>
    <t>TERM-0002</t>
  </si>
  <si>
    <t>Suspense Balance</t>
  </si>
  <si>
    <t>Funds received but not fully applied to the loan due to incomplete or exception processing.</t>
  </si>
  <si>
    <t>Suspense, Unapplied Funds</t>
  </si>
  <si>
    <t>Payment operations</t>
  </si>
  <si>
    <t>High risk for migration reconciliation</t>
  </si>
  <si>
    <t>TERM-0003</t>
  </si>
  <si>
    <t>Days Past Due</t>
  </si>
  <si>
    <t>Number of days a loan is past contractual due date based on servicing rules.</t>
  </si>
  <si>
    <t>DPD, Delinquency Days</t>
  </si>
  <si>
    <t>Default management policy</t>
  </si>
  <si>
    <t>Olivia Brown</t>
  </si>
  <si>
    <t>In Review</t>
  </si>
  <si>
    <t>Confirm target calculation</t>
  </si>
  <si>
    <t>TERM-0004</t>
  </si>
  <si>
    <t>Funds held to pay taxes and insurance on behalf of the borrower.</t>
  </si>
  <si>
    <t>Escrow Account</t>
  </si>
  <si>
    <t>Escrow Policy</t>
  </si>
  <si>
    <t>Validate during reconciliation</t>
  </si>
  <si>
    <t>TERM-0005</t>
  </si>
  <si>
    <t>Unique identifier assigned to each mortgage loan.</t>
  </si>
  <si>
    <t>Loan ID</t>
  </si>
  <si>
    <t>Servicing System</t>
  </si>
  <si>
    <t>Primary loan key</t>
  </si>
  <si>
    <t>TERM-0006</t>
  </si>
  <si>
    <t>Customer</t>
  </si>
  <si>
    <t>Individual responsible for repaying the mortgage loan.</t>
  </si>
  <si>
    <t>Customer, Mortgagor</t>
  </si>
  <si>
    <t>Loan Documentation</t>
  </si>
  <si>
    <t>Primary customer entity</t>
  </si>
  <si>
    <t>TERM-0007</t>
  </si>
  <si>
    <t>Co-Borrower</t>
  </si>
  <si>
    <t>Additional individual jointly responsible for the loan.</t>
  </si>
  <si>
    <t>Joint Borrower</t>
  </si>
  <si>
    <t>May have separate contact information</t>
  </si>
  <si>
    <t>TERM-0008</t>
  </si>
  <si>
    <t>Annual interest percentage charged on the loan balance.</t>
  </si>
  <si>
    <t>Rate</t>
  </si>
  <si>
    <t>Loan Terms</t>
  </si>
  <si>
    <t>Stored as decimal value</t>
  </si>
  <si>
    <t>TERM-0009</t>
  </si>
  <si>
    <t>Date a borrower payment is received and posted.</t>
  </si>
  <si>
    <t>Posting Date</t>
  </si>
  <si>
    <t>Payment Operations</t>
  </si>
  <si>
    <t>Used in reconciliation</t>
  </si>
  <si>
    <t>TERM-0010</t>
  </si>
  <si>
    <t>Dollar amount received from the borrower.</t>
  </si>
  <si>
    <t>Must reconcile with transactions</t>
  </si>
  <si>
    <t>TERM-0011</t>
  </si>
  <si>
    <t>Delinquency Status</t>
  </si>
  <si>
    <t>Current stage of loan delinquency based on servicing rules.</t>
  </si>
  <si>
    <t>Default Status</t>
  </si>
  <si>
    <t>Default Management Policy</t>
  </si>
  <si>
    <t>Draft</t>
  </si>
  <si>
    <t>Verify target values</t>
  </si>
  <si>
    <t>TERM-0012</t>
  </si>
  <si>
    <t>Scheduled date when the loan should be fully repaid.</t>
  </si>
  <si>
    <t>Loan End Date</t>
  </si>
  <si>
    <t>Loan Agreement</t>
  </si>
  <si>
    <t>Compare with loan term</t>
  </si>
  <si>
    <t>TERM-0013</t>
  </si>
  <si>
    <t>Physical address securing the mortgage loan.</t>
  </si>
  <si>
    <t>Collateral Address</t>
  </si>
  <si>
    <t>Property Records</t>
  </si>
  <si>
    <t>TERM-0014</t>
  </si>
  <si>
    <t>Postal ZIP code for the property location.</t>
  </si>
  <si>
    <t>Postal Code</t>
  </si>
  <si>
    <t>USPS Standards</t>
  </si>
  <si>
    <t>Validate format</t>
  </si>
  <si>
    <t>TERM-0015</t>
  </si>
  <si>
    <t>Organization that owns or backs the mortgage loan.</t>
  </si>
  <si>
    <t>Loan Investor</t>
  </si>
  <si>
    <t>Used for reporting</t>
  </si>
  <si>
    <t>TERM-0016</t>
  </si>
  <si>
    <t>Payment Reversal</t>
  </si>
  <si>
    <t>Reversal of a previously applied payment transaction.</t>
  </si>
  <si>
    <t>Reversed Payment</t>
  </si>
  <si>
    <t>Requires audit trail</t>
  </si>
  <si>
    <t>TERM-0017</t>
  </si>
  <si>
    <t>Principal Balance</t>
  </si>
  <si>
    <t>Remaining unpaid loan balance excluding interest and fees.</t>
  </si>
  <si>
    <t>UPB</t>
  </si>
  <si>
    <t>Should match UPB</t>
  </si>
  <si>
    <t>TERM-0018</t>
  </si>
  <si>
    <t>Unique identifier assigned to each customer.</t>
  </si>
  <si>
    <t>Customer Master</t>
  </si>
  <si>
    <t>Unique across servicing platform</t>
  </si>
  <si>
    <t>TERM-0019</t>
  </si>
  <si>
    <t>Current lifecycle status of the loan.</t>
  </si>
  <si>
    <t>Account Status</t>
  </si>
  <si>
    <t>Servicing Policy</t>
  </si>
  <si>
    <t>TERM-0020</t>
  </si>
  <si>
    <t>Transaction Code</t>
  </si>
  <si>
    <t>Code identifying the type of payment transaction.</t>
  </si>
  <si>
    <t>TXN Code</t>
  </si>
  <si>
    <t>Mapped using code crosswalk</t>
  </si>
  <si>
    <t>Prioritized high-risk servicing data requiring stronger controls, validation, and signoff.</t>
  </si>
  <si>
    <t>CDE ID</t>
  </si>
  <si>
    <t>Why Critical</t>
  </si>
  <si>
    <t>Criticality Tier</t>
  </si>
  <si>
    <t>Regulatory / Financial Impact</t>
  </si>
  <si>
    <t>DQ Rule ID</t>
  </si>
  <si>
    <t>Reconciliation Rule ID</t>
  </si>
  <si>
    <t>Status</t>
  </si>
  <si>
    <t>CDE-0001</t>
  </si>
  <si>
    <t>Primary key for migration, reconciliation, and servicing continuity.</t>
  </si>
  <si>
    <t>Tier 1</t>
  </si>
  <si>
    <t>Operational and regulatory</t>
  </si>
  <si>
    <t>DQ-0001</t>
  </si>
  <si>
    <t>REC-0001</t>
  </si>
  <si>
    <t>CDE-0002</t>
  </si>
  <si>
    <t>Financial balance must reconcile before cutover.</t>
  </si>
  <si>
    <t>Financial, investor reporting</t>
  </si>
  <si>
    <t>DQ-0002</t>
  </si>
  <si>
    <t>REC-0002</t>
  </si>
  <si>
    <t>CDE-0003</t>
  </si>
  <si>
    <t>Drives correct payment application history and customer/investor reporting.</t>
  </si>
  <si>
    <t>Financial and customer impact</t>
  </si>
  <si>
    <t>DQ-0003</t>
  </si>
  <si>
    <t>REC-0003</t>
  </si>
  <si>
    <t>CDE-0004</t>
  </si>
  <si>
    <t>Unique customer identifier used across servicing platform.</t>
  </si>
  <si>
    <t>Operational</t>
  </si>
  <si>
    <t>DQ-0004</t>
  </si>
  <si>
    <t>REC-0004</t>
  </si>
  <si>
    <t>Validate uniqueness</t>
  </si>
  <si>
    <t>CDE-0005</t>
  </si>
  <si>
    <t>Determines servicing workflow and reporting.</t>
  </si>
  <si>
    <t>DQ-0005</t>
  </si>
  <si>
    <t>REC-0005</t>
  </si>
  <si>
    <t>Validate status mapping</t>
  </si>
  <si>
    <t>CDE-0006</t>
  </si>
  <si>
    <t>Used for payment calculations.</t>
  </si>
  <si>
    <t>DQ-0006</t>
  </si>
  <si>
    <t>REC-0006</t>
  </si>
  <si>
    <t>Precision validation</t>
  </si>
  <si>
    <t>CDE-0007</t>
  </si>
  <si>
    <t>Required for escrow reconciliation.</t>
  </si>
  <si>
    <t>DQ-0007</t>
  </si>
  <si>
    <t>REC-0007</t>
  </si>
  <si>
    <t>Must reconcile after migration</t>
  </si>
  <si>
    <t>CDE-0008</t>
  </si>
  <si>
    <t>Required to identify collateral.</t>
  </si>
  <si>
    <t>Tier 2</t>
  </si>
  <si>
    <t>DQ-0008</t>
  </si>
  <si>
    <t>REC-0008</t>
  </si>
  <si>
    <t>Address standardization required</t>
  </si>
  <si>
    <t>CDE-0009</t>
  </si>
  <si>
    <t>Determines payment posting sequence.</t>
  </si>
  <si>
    <t>DQ-0009</t>
  </si>
  <si>
    <t>REC-0009</t>
  </si>
  <si>
    <t>Cannot be future dated</t>
  </si>
  <si>
    <t>CDE-0010</t>
  </si>
  <si>
    <t>Used for balance reconciliation.</t>
  </si>
  <si>
    <t>DQ-0010</t>
  </si>
  <si>
    <t>REC-0010</t>
  </si>
  <si>
    <t>Must equal source totals</t>
  </si>
  <si>
    <t>CDE-0011</t>
  </si>
  <si>
    <t>Maintains document traceability after migration.</t>
  </si>
  <si>
    <t>DQ-0011</t>
  </si>
  <si>
    <t>REC-0011</t>
  </si>
  <si>
    <t>Verify document linkage</t>
  </si>
  <si>
    <t>CDE-0012</t>
  </si>
  <si>
    <t>Required for loan servicing lifecycle.</t>
  </si>
  <si>
    <t>DQ-0012</t>
  </si>
  <si>
    <t>REC-0012</t>
  </si>
  <si>
    <t>Validate against loan term</t>
  </si>
  <si>
    <t>Core migration mapping matrix. Each row links to transformation, data quality, reconciliation, issue, and signoff evidence.</t>
  </si>
  <si>
    <t>Mapping ID</t>
  </si>
  <si>
    <t>Source Table/Object</t>
  </si>
  <si>
    <t>Source Field</t>
  </si>
  <si>
    <t>Source Definition</t>
  </si>
  <si>
    <t>Mapping Type</t>
  </si>
  <si>
    <t>Transformation Rule ID</t>
  </si>
  <si>
    <t>Mapping Status</t>
  </si>
  <si>
    <t>SME Owner</t>
  </si>
  <si>
    <t>Tech Owner</t>
  </si>
  <si>
    <t>Issue ID</t>
  </si>
  <si>
    <t>SERV-MAP-0001</t>
  </si>
  <si>
    <t>Primary servicing loan identifier.</t>
  </si>
  <si>
    <t>Unique loan identifier in target.</t>
  </si>
  <si>
    <t>Direct</t>
  </si>
  <si>
    <t>Alex Johnson</t>
  </si>
  <si>
    <t>SERV-MAP-0002</t>
  </si>
  <si>
    <t>Current unpaid principal balance.</t>
  </si>
  <si>
    <t>Current UPB in target.</t>
  </si>
  <si>
    <t>SERV-MAP-0003</t>
  </si>
  <si>
    <t>Legacy payment transaction code.</t>
  </si>
  <si>
    <t>Normalized target transaction type.</t>
  </si>
  <si>
    <t>Lookup</t>
  </si>
  <si>
    <t>TR-0001</t>
  </si>
  <si>
    <t>David Brown</t>
  </si>
  <si>
    <t>ISS-0001</t>
  </si>
  <si>
    <t>Requires code crosswalk approval</t>
  </si>
  <si>
    <t>SERV-MAP-0004</t>
  </si>
  <si>
    <t>Customer identifier</t>
  </si>
  <si>
    <t>TR-001</t>
  </si>
  <si>
    <t>DQ-004</t>
  </si>
  <si>
    <t>REC-004</t>
  </si>
  <si>
    <t>SERV-MAP-0005</t>
  </si>
  <si>
    <t>First name</t>
  </si>
  <si>
    <t>TR-002</t>
  </si>
  <si>
    <t>DQ-005</t>
  </si>
  <si>
    <t>REC-005</t>
  </si>
  <si>
    <t>SERV-MAP-0006</t>
  </si>
  <si>
    <t>Last name</t>
  </si>
  <si>
    <t>TR-003</t>
  </si>
  <si>
    <t>DQ-006</t>
  </si>
  <si>
    <t>REC-006</t>
  </si>
  <si>
    <t>SERV-MAP-0007</t>
  </si>
  <si>
    <t>Date of birth</t>
  </si>
  <si>
    <t>Transform</t>
  </si>
  <si>
    <t>DQ-007</t>
  </si>
  <si>
    <t>REC-007</t>
  </si>
  <si>
    <t>ISS-002</t>
  </si>
  <si>
    <t>Missing transformation rule</t>
  </si>
  <si>
    <t>SERV-MAP-0008</t>
  </si>
  <si>
    <t>Email address</t>
  </si>
  <si>
    <t>TR-005</t>
  </si>
  <si>
    <t>DQ-008</t>
  </si>
  <si>
    <t>REC-008</t>
  </si>
  <si>
    <t>ISS-003</t>
  </si>
  <si>
    <t>Missing target field</t>
  </si>
  <si>
    <t>SERV-MAP-0009</t>
  </si>
  <si>
    <t>Phone number</t>
  </si>
  <si>
    <t>Standardize phone format</t>
  </si>
  <si>
    <t>DQ-009</t>
  </si>
  <si>
    <t>REC-009</t>
  </si>
  <si>
    <t>SERV-MAP-0010</t>
  </si>
  <si>
    <t>Loan status</t>
  </si>
  <si>
    <t>Standard loan status</t>
  </si>
  <si>
    <t>Status Crosswalk</t>
  </si>
  <si>
    <t>DQ-010</t>
  </si>
  <si>
    <t>REC-010</t>
  </si>
  <si>
    <t>SERV-MAP-0011</t>
  </si>
  <si>
    <t>Interest rate</t>
  </si>
  <si>
    <t>TR-011</t>
  </si>
  <si>
    <t>DQ-011</t>
  </si>
  <si>
    <t>REC-011</t>
  </si>
  <si>
    <t>SERV-MAP-0012</t>
  </si>
  <si>
    <t>Escrow balance</t>
  </si>
  <si>
    <t>TR-012</t>
  </si>
  <si>
    <t>DQ-012</t>
  </si>
  <si>
    <t>REC-012</t>
  </si>
  <si>
    <t>SERV-MAP-0013</t>
  </si>
  <si>
    <t>Property address</t>
  </si>
  <si>
    <t>TR-013</t>
  </si>
  <si>
    <t>DQ-013</t>
  </si>
  <si>
    <t>REC-013</t>
  </si>
  <si>
    <t>SERV-MAP-0014</t>
  </si>
  <si>
    <t>Duplicate mapping</t>
  </si>
  <si>
    <t>SERV-MAP-0015</t>
  </si>
  <si>
    <t>Payment date</t>
  </si>
  <si>
    <t>TR-015</t>
  </si>
  <si>
    <t>DQ-015</t>
  </si>
  <si>
    <t>REC-015</t>
  </si>
  <si>
    <t>SERV-MAP-0016</t>
  </si>
  <si>
    <t>Payment amount</t>
  </si>
  <si>
    <t>TR-016</t>
  </si>
  <si>
    <t>DQ-016</t>
  </si>
  <si>
    <t>REC-016</t>
  </si>
  <si>
    <t>SERV-MAP-0017</t>
  </si>
  <si>
    <t>Loan maturity date</t>
  </si>
  <si>
    <t>TR-017</t>
  </si>
  <si>
    <t>DQ-017</t>
  </si>
  <si>
    <t>REC-017</t>
  </si>
  <si>
    <t>ISS-005</t>
  </si>
  <si>
    <t>Missing owner and status</t>
  </si>
  <si>
    <t>SERV-MAP-0018</t>
  </si>
  <si>
    <t>TR-018</t>
  </si>
  <si>
    <t>DQ-018</t>
  </si>
  <si>
    <t>REC-018</t>
  </si>
  <si>
    <t>SERV-MAP-0019</t>
  </si>
  <si>
    <t>Property state</t>
  </si>
  <si>
    <t>Convert full state name to abbreviation</t>
  </si>
  <si>
    <t>DQ-019</t>
  </si>
  <si>
    <t>REC-019</t>
  </si>
  <si>
    <t>SERV-MAP-0020</t>
  </si>
  <si>
    <t>ZIP code</t>
  </si>
  <si>
    <t>TR-020</t>
  </si>
  <si>
    <t>DQ-020</t>
  </si>
  <si>
    <t>REC-020</t>
  </si>
  <si>
    <t>SERV-MAP-0021</t>
  </si>
  <si>
    <t>Payment method</t>
  </si>
  <si>
    <t>Payment Method Crosswalk</t>
  </si>
  <si>
    <t>DQ-021</t>
  </si>
  <si>
    <t>REC-021</t>
  </si>
  <si>
    <t>SERV-MAP-0022</t>
  </si>
  <si>
    <t>Reversal indicator</t>
  </si>
  <si>
    <t>Payment reversal flag</t>
  </si>
  <si>
    <t>Convert Y/N values</t>
  </si>
  <si>
    <t>DQ-022</t>
  </si>
  <si>
    <t>REC-022</t>
  </si>
  <si>
    <t>SERV-MAP-0023</t>
  </si>
  <si>
    <t>Document identifier</t>
  </si>
  <si>
    <t>TR-023</t>
  </si>
  <si>
    <t>DQ-023</t>
  </si>
  <si>
    <t>REC-023</t>
  </si>
  <si>
    <t>SERV-MAP-0024</t>
  </si>
  <si>
    <t>Document type</t>
  </si>
  <si>
    <t>Document classification</t>
  </si>
  <si>
    <t>Document Type Crosswalk</t>
  </si>
  <si>
    <t>DQ-024</t>
  </si>
  <si>
    <t>REC-024</t>
  </si>
  <si>
    <t>SERV-MAP-0025</t>
  </si>
  <si>
    <t>Document date</t>
  </si>
  <si>
    <t>TR-025</t>
  </si>
  <si>
    <t>DQ-025</t>
  </si>
  <si>
    <t>REC-025</t>
  </si>
  <si>
    <t>SERV-MAP-0026</t>
  </si>
  <si>
    <t>Mailing address</t>
  </si>
  <si>
    <t>TR-026</t>
  </si>
  <si>
    <t>DQ-026</t>
  </si>
  <si>
    <t>REC-026</t>
  </si>
  <si>
    <t>Validate address standardization</t>
  </si>
  <si>
    <t>SERV-MAP-0027</t>
  </si>
  <si>
    <t>Customer role</t>
  </si>
  <si>
    <t>Borrower role</t>
  </si>
  <si>
    <t>Customer Role Crosswalk</t>
  </si>
  <si>
    <t>DQ-027</t>
  </si>
  <si>
    <t>REC-027</t>
  </si>
  <si>
    <t>SERV-MAP-0028</t>
  </si>
  <si>
    <t>TR-028</t>
  </si>
  <si>
    <t>REC-028</t>
  </si>
  <si>
    <t>ISS-006</t>
  </si>
  <si>
    <t>Missing DQ Rule</t>
  </si>
  <si>
    <t>SERV-MAP-0029</t>
  </si>
  <si>
    <t>DQ-029</t>
  </si>
  <si>
    <t>ISS-007</t>
  </si>
  <si>
    <t>Missing reconciliation rule</t>
  </si>
  <si>
    <t>SERV-MAP-0030</t>
  </si>
  <si>
    <t>State code</t>
  </si>
  <si>
    <t>TR-030</t>
  </si>
  <si>
    <t>DQ-030</t>
  </si>
  <si>
    <t>REC-030</t>
  </si>
  <si>
    <t>ISS-008</t>
  </si>
  <si>
    <t>Mapping type should probably be Transform</t>
  </si>
  <si>
    <t>SERV-MAP-0031</t>
  </si>
  <si>
    <t>TR-031</t>
  </si>
  <si>
    <t>DQ-031</t>
  </si>
  <si>
    <t>REC-031</t>
  </si>
  <si>
    <t>SERV-MAP-0032</t>
  </si>
  <si>
    <t>TR-032</t>
  </si>
  <si>
    <t>DQ-032</t>
  </si>
  <si>
    <t>REC-032</t>
  </si>
  <si>
    <t>Reusable conversion, derivation, defaulting, formatting, survivorship, and lookup rules.</t>
  </si>
  <si>
    <t>Rule ID</t>
  </si>
  <si>
    <t>Rule Name</t>
  </si>
  <si>
    <t>Rule Type</t>
  </si>
  <si>
    <t>Description</t>
  </si>
  <si>
    <t>Input Fields</t>
  </si>
  <si>
    <t>Output Field</t>
  </si>
  <si>
    <t>Business Logic / Formula</t>
  </si>
  <si>
    <t>Default / Exception Handling</t>
  </si>
  <si>
    <t>Related Mapping IDs</t>
  </si>
  <si>
    <t>Transaction Code Crosswalk</t>
  </si>
  <si>
    <t>Convert legacy transaction codes to target values</t>
  </si>
  <si>
    <t>PAYMENT_TXN.TXN_CD</t>
  </si>
  <si>
    <t>Payment.transactionType</t>
  </si>
  <si>
    <t>Use lookup table to convert codes</t>
  </si>
  <si>
    <t>Invalid code → review</t>
  </si>
  <si>
    <t>First Name Copy</t>
  </si>
  <si>
    <t>Copy first name</t>
  </si>
  <si>
    <t>CUSTOMER.FIRST_NAME</t>
  </si>
  <si>
    <t>Borrower.firstName</t>
  </si>
  <si>
    <t>Copy as-is</t>
  </si>
  <si>
    <t>Blank allowed</t>
  </si>
  <si>
    <t>Last Name Copy</t>
  </si>
  <si>
    <t>Copy last name</t>
  </si>
  <si>
    <t>CUSTOMER.LAST_NAME</t>
  </si>
  <si>
    <t>Borrower.lastName</t>
  </si>
  <si>
    <t>TR-004</t>
  </si>
  <si>
    <t>Customer ID Copy</t>
  </si>
  <si>
    <t>Copy customer ID</t>
  </si>
  <si>
    <t>CUSTOMER.CUST_ID</t>
  </si>
  <si>
    <t>Borrower.borrowerID</t>
  </si>
  <si>
    <t>Email Validation</t>
  </si>
  <si>
    <t>Validation</t>
  </si>
  <si>
    <t>Validate email format</t>
  </si>
  <si>
    <t>CUSTOMER.EMAIL</t>
  </si>
  <si>
    <t>Borrower.emailAddress</t>
  </si>
  <si>
    <t>Check email pattern</t>
  </si>
  <si>
    <t>Invalid email → review</t>
  </si>
  <si>
    <t>TR-006</t>
  </si>
  <si>
    <t>Phone Formatting</t>
  </si>
  <si>
    <t>Standardize phone numbers</t>
  </si>
  <si>
    <t>CUSTOMER.PHONE</t>
  </si>
  <si>
    <t>Borrower.phoneNumber</t>
  </si>
  <si>
    <t>Remove symbols and format</t>
  </si>
  <si>
    <t>Invalid phone → review</t>
  </si>
  <si>
    <t>TR-007</t>
  </si>
  <si>
    <t>DOB Conversion</t>
  </si>
  <si>
    <t>Convert DOB to target date format</t>
  </si>
  <si>
    <t>CUSTOMER.DOB</t>
  </si>
  <si>
    <t>Borrower.dateOfBirth</t>
  </si>
  <si>
    <t>YYYYMMDD → MM/DD/YYYY</t>
  </si>
  <si>
    <t>Invalid date → reject</t>
  </si>
  <si>
    <t>TR-008</t>
  </si>
  <si>
    <t>Loan Status Lookup</t>
  </si>
  <si>
    <t>Convert loan status</t>
  </si>
  <si>
    <t>LOAN_MASTER.LOAN_STATUS</t>
  </si>
  <si>
    <t>Loan.loanStatus</t>
  </si>
  <si>
    <t>Use status crosswalk</t>
  </si>
  <si>
    <t>Unknown → Pending Review</t>
  </si>
  <si>
    <t>TR-009</t>
  </si>
  <si>
    <t>Interest Rate Copy</t>
  </si>
  <si>
    <t>Copy interest rate</t>
  </si>
  <si>
    <t>LOAN_MASTER.INTEREST_RATE</t>
  </si>
  <si>
    <t>Loan.interestRate</t>
  </si>
  <si>
    <t>Copy value</t>
  </si>
  <si>
    <t>Null allowed</t>
  </si>
  <si>
    <t>TR-010</t>
  </si>
  <si>
    <t>Escrow Balance Copy</t>
  </si>
  <si>
    <t>Copy escrow balance</t>
  </si>
  <si>
    <t>ESCROW.ESCROW_BAL</t>
  </si>
  <si>
    <t>Escrow.escrowBalance</t>
  </si>
  <si>
    <t>Null = 0</t>
  </si>
  <si>
    <t>Property Address Copy</t>
  </si>
  <si>
    <t>Copy address</t>
  </si>
  <si>
    <t>PROPERTY.PROPERTY_ADDR</t>
  </si>
  <si>
    <t>Property.propertyAddress</t>
  </si>
  <si>
    <t>Trim spaces</t>
  </si>
  <si>
    <t>City Copy</t>
  </si>
  <si>
    <t>Copy city</t>
  </si>
  <si>
    <t>PROPERTY.CITY</t>
  </si>
  <si>
    <t>Property.city</t>
  </si>
  <si>
    <t>State Conversion</t>
  </si>
  <si>
    <t>Convert state names to abbreviations</t>
  </si>
  <si>
    <t>PROPERTY.STATE</t>
  </si>
  <si>
    <t>Property.stateCode</t>
  </si>
  <si>
    <t>Florida → FL</t>
  </si>
  <si>
    <t>Unknown → review</t>
  </si>
  <si>
    <t>TR-014</t>
  </si>
  <si>
    <t>ZIP Copy</t>
  </si>
  <si>
    <t>Copy ZIP Code</t>
  </si>
  <si>
    <t>PROPERTY.ZIP_CODE</t>
  </si>
  <si>
    <t>Property.zipCode</t>
  </si>
  <si>
    <t>Must be 5 digits</t>
  </si>
  <si>
    <t>Payment Method Lookup</t>
  </si>
  <si>
    <t>Convert payment method</t>
  </si>
  <si>
    <t>PAYMENT_TXN.PAYMENT_METHOD</t>
  </si>
  <si>
    <t>Payment.paymentMethod</t>
  </si>
  <si>
    <t>Lookup table</t>
  </si>
  <si>
    <t>Convert reversal flag</t>
  </si>
  <si>
    <t>PAYMENT_TXN.REVERSAL_IND</t>
  </si>
  <si>
    <t>Payment.reversalFlag</t>
  </si>
  <si>
    <t>Y→True, N→False</t>
  </si>
  <si>
    <t>Blank→False</t>
  </si>
  <si>
    <t>Document Type Lookup</t>
  </si>
  <si>
    <t>Convert document types</t>
  </si>
  <si>
    <t>DOCUMENT.DOC_TYPE</t>
  </si>
  <si>
    <t>Document.documentType</t>
  </si>
  <si>
    <t>Mailing Address Copy</t>
  </si>
  <si>
    <t>Copy mailing address</t>
  </si>
  <si>
    <t>CUSTOMER.MAILING_ADDR</t>
  </si>
  <si>
    <t>Borrower.mailingAddress</t>
  </si>
  <si>
    <t>TR-019</t>
  </si>
  <si>
    <t>Customer Role Lookup</t>
  </si>
  <si>
    <t>Convert customer role</t>
  </si>
  <si>
    <t>CUSTOMER.CUSTOMER_TYPE</t>
  </si>
  <si>
    <t>Borrower.customerRole</t>
  </si>
  <si>
    <t>Borrower/Co-Borrower lookup</t>
  </si>
  <si>
    <t>Maturity Date Copy</t>
  </si>
  <si>
    <t>Copy maturity date</t>
  </si>
  <si>
    <t>LOAN_MASTER.MATURITY_DATE</t>
  </si>
  <si>
    <t>Loan.maturityDate</t>
  </si>
  <si>
    <t>Validate date</t>
  </si>
  <si>
    <t>Legacy-to-target value mapping for payment, delinquency, default, investor, escrow, fee, and status codes.</t>
  </si>
  <si>
    <t>Crosswalk ID</t>
  </si>
  <si>
    <t>Crosswalk Type</t>
  </si>
  <si>
    <t>Source Code</t>
  </si>
  <si>
    <t>Source Description</t>
  </si>
  <si>
    <t>Target Code</t>
  </si>
  <si>
    <t>Target Description</t>
  </si>
  <si>
    <t>Effective Date</t>
  </si>
  <si>
    <t>End Date</t>
  </si>
  <si>
    <t>CW-0001</t>
  </si>
  <si>
    <t>Regular payment</t>
  </si>
  <si>
    <t>Borrower payment received</t>
  </si>
  <si>
    <t>CW-0002</t>
  </si>
  <si>
    <t>REV</t>
  </si>
  <si>
    <t>Payment reversal</t>
  </si>
  <si>
    <t>Reversal</t>
  </si>
  <si>
    <t>Payment reversal transaction</t>
  </si>
  <si>
    <t>CW-0003</t>
  </si>
  <si>
    <t>FEE</t>
  </si>
  <si>
    <t>Fee payment</t>
  </si>
  <si>
    <t>Fee</t>
  </si>
  <si>
    <t>Fee transaction</t>
  </si>
  <si>
    <t>CW-0004</t>
  </si>
  <si>
    <t>ACT</t>
  </si>
  <si>
    <t>Active loan</t>
  </si>
  <si>
    <t>Active servicing loan</t>
  </si>
  <si>
    <t>CW-0005</t>
  </si>
  <si>
    <t>CLS</t>
  </si>
  <si>
    <t>Closed loan</t>
  </si>
  <si>
    <t>Closed</t>
  </si>
  <si>
    <t>Closed servicing loan</t>
  </si>
  <si>
    <t>CW-0006</t>
  </si>
  <si>
    <t>DEL</t>
  </si>
  <si>
    <t>Delinquent loan</t>
  </si>
  <si>
    <t>Delinquent</t>
  </si>
  <si>
    <t>Past due loan</t>
  </si>
  <si>
    <t>CW-0007</t>
  </si>
  <si>
    <t>Florida</t>
  </si>
  <si>
    <t>Full state name</t>
  </si>
  <si>
    <t>FL</t>
  </si>
  <si>
    <t>Used in address conversion</t>
  </si>
  <si>
    <t>CW-0008</t>
  </si>
  <si>
    <t>TX</t>
  </si>
  <si>
    <t>CW-0009</t>
  </si>
  <si>
    <t>BOR</t>
  </si>
  <si>
    <t>Primary borrower</t>
  </si>
  <si>
    <t>CW-0010</t>
  </si>
  <si>
    <t>COB</t>
  </si>
  <si>
    <t>CoBorrower</t>
  </si>
  <si>
    <t>Secondary borrower</t>
  </si>
  <si>
    <t>CW-0011</t>
  </si>
  <si>
    <t>Electronic payment</t>
  </si>
  <si>
    <t>Automated Clearing House</t>
  </si>
  <si>
    <t>CW-0012</t>
  </si>
  <si>
    <t>CHK</t>
  </si>
  <si>
    <t>Paper check</t>
  </si>
  <si>
    <t>Check</t>
  </si>
  <si>
    <t>Check payment</t>
  </si>
  <si>
    <t>Verify legacy payment code</t>
  </si>
  <si>
    <t>Validation rules supporting migration build, testing, exception management, and cutover certification.</t>
  </si>
  <si>
    <t>Target Field / Entity</t>
  </si>
  <si>
    <t>Rule Description</t>
  </si>
  <si>
    <t>Severity</t>
  </si>
  <si>
    <t>Expected Result</t>
  </si>
  <si>
    <t>Exception Handling</t>
  </si>
  <si>
    <t>Loan ID Required</t>
  </si>
  <si>
    <t>Required</t>
  </si>
  <si>
    <t>Loan.servicingLoanId</t>
  </si>
  <si>
    <t>Loan ID must not be blank</t>
  </si>
  <si>
    <t>High</t>
  </si>
  <si>
    <t>No null values</t>
  </si>
  <si>
    <t>Reject record</t>
  </si>
  <si>
    <t>Primary key</t>
  </si>
  <si>
    <t>UPB Balance Check</t>
  </si>
  <si>
    <t>Range</t>
  </si>
  <si>
    <t>LoanBalance.unpaidPrincipalBalance</t>
  </si>
  <si>
    <t>Balance must be ≥ 0</t>
  </si>
  <si>
    <t>No negative balances</t>
  </si>
  <si>
    <t>Review exception</t>
  </si>
  <si>
    <t>Financial validation</t>
  </si>
  <si>
    <t>Transaction Type Valid</t>
  </si>
  <si>
    <t>Valid Value</t>
  </si>
  <si>
    <t>Value must exist in lookup</t>
  </si>
  <si>
    <t>Valid code only</t>
  </si>
  <si>
    <t>Review invalid codes</t>
  </si>
  <si>
    <t>Customer ID Unique</t>
  </si>
  <si>
    <t>Uniqueness</t>
  </si>
  <si>
    <t>Customer IDs must be unique</t>
  </si>
  <si>
    <t>No duplicates</t>
  </si>
  <si>
    <t>Investigate duplicates</t>
  </si>
  <si>
    <t>First Name Required</t>
  </si>
  <si>
    <t>First name cannot be blank</t>
  </si>
  <si>
    <t>Medium</t>
  </si>
  <si>
    <t>Value populated</t>
  </si>
  <si>
    <t>Flag missing value</t>
  </si>
  <si>
    <t>Last Name Required</t>
  </si>
  <si>
    <t>Last name cannot be blank</t>
  </si>
  <si>
    <t>DOB Valid Date</t>
  </si>
  <si>
    <t>Format</t>
  </si>
  <si>
    <t>DOB must be valid date</t>
  </si>
  <si>
    <t>Correct format</t>
  </si>
  <si>
    <t>Reject invalid dates</t>
  </si>
  <si>
    <t>Email Format</t>
  </si>
  <si>
    <t>Email must contain @</t>
  </si>
  <si>
    <t>Flag invalid email</t>
  </si>
  <si>
    <t>Phone Format</t>
  </si>
  <si>
    <t>Phone formatted as XXX-XXX-XXXX</t>
  </si>
  <si>
    <t>Standard format</t>
  </si>
  <si>
    <t>Standardize value</t>
  </si>
  <si>
    <t>Loan Status Valid</t>
  </si>
  <si>
    <t>Must exist in status lookup</t>
  </si>
  <si>
    <t>Approved value</t>
  </si>
  <si>
    <t>Review invalid status</t>
  </si>
  <si>
    <t>Interest Rate Range</t>
  </si>
  <si>
    <t>Rate between 0% and 25%</t>
  </si>
  <si>
    <t>Valid percentage</t>
  </si>
  <si>
    <t>Flag outliers</t>
  </si>
  <si>
    <t>Escrow Balance Check</t>
  </si>
  <si>
    <t>Balance cannot be negative</t>
  </si>
  <si>
    <t>≥ 0</t>
  </si>
  <si>
    <t>Controls that prove migrated data is complete, accurate, and ready for business certification.</t>
  </si>
  <si>
    <t>Recon Rule ID</t>
  </si>
  <si>
    <t>Recon Type</t>
  </si>
  <si>
    <t>Source Basis</t>
  </si>
  <si>
    <t>Target Basis</t>
  </si>
  <si>
    <t>Reconciliation Logic</t>
  </si>
  <si>
    <t>Tolerance</t>
  </si>
  <si>
    <t>Frequency</t>
  </si>
  <si>
    <t>Evidence Location</t>
  </si>
  <si>
    <t>Customer Record Count</t>
  </si>
  <si>
    <t>Count</t>
  </si>
  <si>
    <t>Legacy CUSTOMER table</t>
  </si>
  <si>
    <t>Borrower table</t>
  </si>
  <si>
    <t>Compare total borrower records</t>
  </si>
  <si>
    <t>0 difference</t>
  </si>
  <si>
    <t>Each test cycle</t>
  </si>
  <si>
    <t>Balance</t>
  </si>
  <si>
    <t>Escrow balances</t>
  </si>
  <si>
    <t>Compare escrow balances by loan</t>
  </si>
  <si>
    <t>±$0.01</t>
  </si>
  <si>
    <t>Each cycle</t>
  </si>
  <si>
    <t>Field Value</t>
  </si>
  <si>
    <t>Compare rate to 5 decimals</t>
  </si>
  <si>
    <t>Exact match</t>
  </si>
  <si>
    <t>Validate status crosswalk</t>
  </si>
  <si>
    <t>Compare normalized addresses</t>
  </si>
  <si>
    <t>Standardize abbreviations first</t>
  </si>
  <si>
    <t>Dates must match</t>
  </si>
  <si>
    <t>Loan maturity</t>
  </si>
  <si>
    <t>Verify maturity date transferred</t>
  </si>
  <si>
    <t>Cutover</t>
  </si>
  <si>
    <t>Final validation before go-live</t>
  </si>
  <si>
    <t>Single place to track open questions, assumptions, decisions, risks, and approvals.</t>
  </si>
  <si>
    <t>Log ID</t>
  </si>
  <si>
    <t>Type</t>
  </si>
  <si>
    <t>Title</t>
  </si>
  <si>
    <t>Due Date</t>
  </si>
  <si>
    <t>Decision / Resolution</t>
  </si>
  <si>
    <t>Business Rationale</t>
  </si>
  <si>
    <t>Approved By</t>
  </si>
  <si>
    <t>Approval Date</t>
  </si>
  <si>
    <t>Issue</t>
  </si>
  <si>
    <t>Payment code crosswalk not approved</t>
  </si>
  <si>
    <t>Legacy payment transaction code mapping requires SME validation.</t>
  </si>
  <si>
    <t>Pending business approval</t>
  </si>
  <si>
    <t>Required before payment migration can begin.</t>
  </si>
  <si>
    <t>DEC-0001</t>
  </si>
  <si>
    <t>Decision</t>
  </si>
  <si>
    <t>Migrate 24 months of payment history</t>
  </si>
  <si>
    <t>Business elected to migrate only the most recent payment history.</t>
  </si>
  <si>
    <t>Migrate last 24 months only.</t>
  </si>
  <si>
    <t>Reduces migration effort while meeting business needs.</t>
  </si>
  <si>
    <t>SERV-MAP-0015, SERV-MAP-0016</t>
  </si>
  <si>
    <t>ISS-0002</t>
  </si>
  <si>
    <t>Missing DOB transformation rule</t>
  </si>
  <si>
    <t>Date of birth requires formatting before loading target system.</t>
  </si>
  <si>
    <t>In Progress</t>
  </si>
  <si>
    <t>Create TR-0007 transformation rule.</t>
  </si>
  <si>
    <t>Prevent invalid date formats.</t>
  </si>
  <si>
    <t>ISS-0003</t>
  </si>
  <si>
    <t>Missing target email field</t>
  </si>
  <si>
    <t>Target email attribute has not been finalized.</t>
  </si>
  <si>
    <t>Await target model update.</t>
  </si>
  <si>
    <t>Prevent incorrect customer contact migration.</t>
  </si>
  <si>
    <t>DEC-0002</t>
  </si>
  <si>
    <t>Standardize phone number format</t>
  </si>
  <si>
    <t>All phone numbers will follow a common format.</t>
  </si>
  <si>
    <t>Low</t>
  </si>
  <si>
    <t>Convert to ###-###-#### format.</t>
  </si>
  <si>
    <t>Improves downstream integrations.</t>
  </si>
  <si>
    <t>ISS-0004</t>
  </si>
  <si>
    <t>Duplicate property mapping</t>
  </si>
  <si>
    <t>Duplicate Property Address mapping identified during review.</t>
  </si>
  <si>
    <t>Duplicate removed from mapping inventory.</t>
  </si>
  <si>
    <t>Prevent duplicate migration logic.</t>
  </si>
  <si>
    <t>DEC-0003</t>
  </si>
  <si>
    <t>State code conversion</t>
  </si>
  <si>
    <t>Property state values will use USPS abbreviations.</t>
  </si>
  <si>
    <t>Apply state lookup crosswalk.</t>
  </si>
  <si>
    <t>Standardize reporting and validation.</t>
  </si>
  <si>
    <t>ISS-0005</t>
  </si>
  <si>
    <t>Loan Status mapping lacks reconciliation verification.</t>
  </si>
  <si>
    <t>Create REC-0029 before UAT.</t>
  </si>
  <si>
    <t>Required for production signoff.</t>
  </si>
  <si>
    <t>DEC-0004</t>
  </si>
  <si>
    <t>Escrow balance tolerance</t>
  </si>
  <si>
    <t>Balance reconciliation tolerance established.</t>
  </si>
  <si>
    <t>Allow ±$0.01 difference.</t>
  </si>
  <si>
    <t>Accounts for rounding differences.</t>
  </si>
  <si>
    <t>ISS-0006</t>
  </si>
  <si>
    <t>Missing mapping owner</t>
  </si>
  <si>
    <t>Loan maturity mapping has no assigned SME owner.</t>
  </si>
  <si>
    <t>Assign Sarah Kim as business owner.</t>
  </si>
  <si>
    <t>Required before final signoff.</t>
  </si>
  <si>
    <t>DEC-0005</t>
  </si>
  <si>
    <t>Customer role mapping</t>
  </si>
  <si>
    <t>Borrower and Co-Borrower values standardized.</t>
  </si>
  <si>
    <t>Use customer role lookup table.</t>
  </si>
  <si>
    <t>Consistent target values.</t>
  </si>
  <si>
    <t>ISS-0007</t>
  </si>
  <si>
    <t>Payment method lookup incomplete</t>
  </si>
  <si>
    <t>Legacy payment method codes CHK and ACH verified; Wire still missing.</t>
  </si>
  <si>
    <t>Complete lookup crosswalk.</t>
  </si>
  <si>
    <t>Prevent unmapped payment methods.</t>
  </si>
  <si>
    <t>Approval tracking for mapping packages, critical data elements, rules, reconciliation, and cutover readiness.</t>
  </si>
  <si>
    <t>Signoff ID</t>
  </si>
  <si>
    <t>Artifact / Domain</t>
  </si>
  <si>
    <t>Approver Role</t>
  </si>
  <si>
    <t>Approver Name</t>
  </si>
  <si>
    <t>Review Status</t>
  </si>
  <si>
    <t>Requested Date</t>
  </si>
  <si>
    <t>Conditions / Exceptions</t>
  </si>
  <si>
    <t>SO-0001</t>
  </si>
  <si>
    <t>Business Owner</t>
  </si>
  <si>
    <t>None</t>
  </si>
  <si>
    <t>SharePoint/CDE Review</t>
  </si>
  <si>
    <t>Final CDE list approved</t>
  </si>
  <si>
    <t>SO-0002</t>
  </si>
  <si>
    <t>Business SME</t>
  </si>
  <si>
    <t>Payment code crosswalk completed</t>
  </si>
  <si>
    <t>SharePoint/Mapping Review</t>
  </si>
  <si>
    <t>Mapping approved after crosswalk validation</t>
  </si>
  <si>
    <t>SO-0003</t>
  </si>
  <si>
    <t>Data Architecture</t>
  </si>
  <si>
    <t>SharePoint/Reconciliation</t>
  </si>
  <si>
    <t>Ready for UAT</t>
  </si>
  <si>
    <t>SO-0004</t>
  </si>
  <si>
    <t>Technical Lead</t>
  </si>
  <si>
    <t>DOB transformation validated</t>
  </si>
  <si>
    <t>Git Repository</t>
  </si>
  <si>
    <t>All transformation logic tested</t>
  </si>
  <si>
    <t>SO-0005</t>
  </si>
  <si>
    <t>Data Governance</t>
  </si>
  <si>
    <t>Email validation pending production</t>
  </si>
  <si>
    <t>SharePoint/DQ Rules</t>
  </si>
  <si>
    <t>Approved with monitoring</t>
  </si>
  <si>
    <t>SO-0006</t>
  </si>
  <si>
    <t>SharePoint/Crosswalk</t>
  </si>
  <si>
    <t>Legacy codes verified</t>
  </si>
  <si>
    <t>SO-0007</t>
  </si>
  <si>
    <t>Enterprise</t>
  </si>
  <si>
    <t>SharePoint/Glossary</t>
  </si>
  <si>
    <t>Standard terminology adopted</t>
  </si>
  <si>
    <t>SO-0008</t>
  </si>
  <si>
    <t>Final Migration Package</t>
  </si>
  <si>
    <t>Program Manager</t>
  </si>
  <si>
    <t>Pending</t>
  </si>
  <si>
    <t>Awaiting production readiness review</t>
  </si>
  <si>
    <t>PMO Repository</t>
  </si>
  <si>
    <t>Final approval before deployment</t>
  </si>
  <si>
    <t>Controlled Lists</t>
  </si>
  <si>
    <t>Dropdown values used across workbook tabs. Update here when standards change.</t>
  </si>
  <si>
    <t>Issue Status</t>
  </si>
  <si>
    <t>Public</t>
  </si>
  <si>
    <t>SME Approved</t>
  </si>
  <si>
    <t>Tier 3</t>
  </si>
  <si>
    <t>Derive</t>
  </si>
  <si>
    <t>Blocked</t>
  </si>
  <si>
    <t>Database</t>
  </si>
  <si>
    <t>Tech Approved</t>
  </si>
  <si>
    <t>Rejected</t>
  </si>
  <si>
    <t>Tier 4</t>
  </si>
  <si>
    <t>File Extract</t>
  </si>
  <si>
    <t>Deferred</t>
  </si>
  <si>
    <t>Referential Integrity</t>
  </si>
  <si>
    <t>PCI</t>
  </si>
  <si>
    <t>Not Migrated</t>
  </si>
  <si>
    <t>Balance Check</t>
  </si>
  <si>
    <t>Report</t>
  </si>
  <si>
    <t>New Target Field</t>
  </si>
  <si>
    <t>External Vendor</t>
  </si>
  <si>
    <t>Retired</t>
  </si>
  <si>
    <t>Survivorship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</si>
</sst>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5"/>
      <color rgb="FFFFFFFF"/>
      <name val="Carlito"/>
    </font>
    <font>
      <i/>
      <sz val="10"/>
      <color rgb="FF11182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000000"/>
      <name val="Carlito"/>
      <charset val="1"/>
    </font>
    <font>
      <sz val="11"/>
      <color rgb="FF00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B5394"/>
      </patternFill>
    </fill>
    <fill>
      <patternFill patternType="solid">
        <fgColor rgb="FFD9EAF7"/>
      </patternFill>
    </fill>
    <fill>
      <patternFill patternType="solid">
        <fgColor rgb="FF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14" fontId="0" fillId="0" borderId="0" xfId="0" applyNumberFormat="1" applyAlignment="1">
      <alignment vertical="top" wrapText="1"/>
    </xf>
    <xf numFmtId="14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zoomScaleNormal="100" zoomScaleSheetLayoutView="100" workbookViewId="0"/>
  </sheetViews>
  <sheetFormatPr defaultRowHeight="15"/>
  <cols>
    <col min="1" max="1" width="28" customWidth="1"/>
    <col min="2" max="2" width="50" customWidth="1"/>
    <col min="3" max="3" width="68" customWidth="1"/>
  </cols>
  <sheetData>
    <row r="1" spans="1:3" ht="30" customHeight="1">
      <c r="A1" s="18" t="s">
        <v>0</v>
      </c>
      <c r="B1" s="23"/>
      <c r="C1" s="23"/>
    </row>
    <row r="2" spans="1:3" ht="24" customHeight="1">
      <c r="A2" s="19" t="s">
        <v>1</v>
      </c>
      <c r="B2" s="23"/>
      <c r="C2" s="23"/>
    </row>
    <row r="4" spans="1:3" ht="33.950000000000003" customHeight="1">
      <c r="A4" s="2" t="s">
        <v>2</v>
      </c>
      <c r="B4" s="2" t="s">
        <v>3</v>
      </c>
      <c r="C4" s="2" t="s">
        <v>4</v>
      </c>
    </row>
    <row r="5" spans="1:3">
      <c r="A5" s="3" t="s">
        <v>5</v>
      </c>
      <c r="B5" s="3" t="s">
        <v>6</v>
      </c>
      <c r="C5" s="3" t="s">
        <v>7</v>
      </c>
    </row>
    <row r="6" spans="1:3">
      <c r="A6" s="3" t="s">
        <v>8</v>
      </c>
      <c r="B6" s="3" t="s">
        <v>9</v>
      </c>
      <c r="C6" s="3" t="s">
        <v>10</v>
      </c>
    </row>
    <row r="7" spans="1:3">
      <c r="A7" s="3" t="s">
        <v>11</v>
      </c>
      <c r="B7" s="3" t="s">
        <v>12</v>
      </c>
      <c r="C7" s="3" t="s">
        <v>13</v>
      </c>
    </row>
    <row r="8" spans="1:3">
      <c r="A8" s="3" t="s">
        <v>14</v>
      </c>
      <c r="B8" s="3" t="s">
        <v>15</v>
      </c>
      <c r="C8" s="3" t="s">
        <v>16</v>
      </c>
    </row>
    <row r="9" spans="1:3">
      <c r="A9" s="3" t="s">
        <v>17</v>
      </c>
      <c r="B9" s="3" t="s">
        <v>18</v>
      </c>
      <c r="C9" s="3" t="s">
        <v>19</v>
      </c>
    </row>
    <row r="10" spans="1:3">
      <c r="A10" s="3" t="s">
        <v>20</v>
      </c>
      <c r="B10" s="3" t="s">
        <v>21</v>
      </c>
      <c r="C10" s="3" t="s">
        <v>22</v>
      </c>
    </row>
    <row r="11" spans="1:3">
      <c r="A11" s="3" t="s">
        <v>23</v>
      </c>
      <c r="B11" s="3" t="s">
        <v>24</v>
      </c>
      <c r="C11" s="3" t="s">
        <v>25</v>
      </c>
    </row>
    <row r="12" spans="1:3">
      <c r="A12" s="3" t="s">
        <v>26</v>
      </c>
      <c r="B12" s="3" t="s">
        <v>27</v>
      </c>
      <c r="C12" s="3" t="s">
        <v>28</v>
      </c>
    </row>
    <row r="13" spans="1:3">
      <c r="A13" s="3" t="s">
        <v>29</v>
      </c>
      <c r="B13" s="3" t="s">
        <v>30</v>
      </c>
      <c r="C13" s="3" t="s">
        <v>31</v>
      </c>
    </row>
    <row r="14" spans="1:3">
      <c r="A14" s="3" t="s">
        <v>32</v>
      </c>
      <c r="B14" s="3" t="s">
        <v>33</v>
      </c>
      <c r="C14" s="3" t="s">
        <v>34</v>
      </c>
    </row>
    <row r="15" spans="1:3">
      <c r="A15" s="3" t="s">
        <v>35</v>
      </c>
      <c r="B15" s="3" t="s">
        <v>36</v>
      </c>
      <c r="C15" s="3" t="s">
        <v>37</v>
      </c>
    </row>
    <row r="16" spans="1:3">
      <c r="A16" s="3" t="s">
        <v>38</v>
      </c>
      <c r="B16" s="3" t="s">
        <v>39</v>
      </c>
      <c r="C16" s="3" t="s">
        <v>40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zoomScaleNormal="100" zoomScaleSheetLayoutView="100" workbookViewId="0">
      <selection activeCell="C18" sqref="C18"/>
    </sheetView>
  </sheetViews>
  <sheetFormatPr defaultRowHeight="15"/>
  <cols>
    <col min="1" max="1" width="28" customWidth="1"/>
    <col min="2" max="2" width="18" customWidth="1"/>
    <col min="3" max="3" width="52" customWidth="1"/>
    <col min="4" max="4" width="3" customWidth="1"/>
    <col min="5" max="5" width="20" customWidth="1"/>
    <col min="6" max="6" width="16" customWidth="1"/>
    <col min="7" max="7" width="14" customWidth="1"/>
    <col min="8" max="8" width="16" customWidth="1"/>
    <col min="9" max="10" width="12" customWidth="1"/>
  </cols>
  <sheetData>
    <row r="1" spans="1:10" ht="30" customHeight="1">
      <c r="A1" s="18" t="s">
        <v>41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" customHeight="1">
      <c r="A2" s="19" t="s">
        <v>42</v>
      </c>
      <c r="B2" s="23"/>
      <c r="C2" s="23"/>
      <c r="D2" s="23"/>
      <c r="E2" s="23"/>
      <c r="F2" s="23"/>
      <c r="G2" s="23"/>
      <c r="H2" s="23"/>
      <c r="I2" s="23"/>
      <c r="J2" s="23"/>
    </row>
    <row r="4" spans="1:10">
      <c r="A4" s="4" t="s">
        <v>43</v>
      </c>
      <c r="B4" s="4" t="s">
        <v>44</v>
      </c>
      <c r="C4" s="4" t="s">
        <v>45</v>
      </c>
      <c r="E4" s="4" t="s">
        <v>46</v>
      </c>
      <c r="F4" s="4" t="s">
        <v>47</v>
      </c>
      <c r="G4" s="4" t="s">
        <v>48</v>
      </c>
      <c r="H4" s="4" t="s">
        <v>49</v>
      </c>
      <c r="I4" s="4" t="s">
        <v>50</v>
      </c>
      <c r="J4" s="4" t="s">
        <v>51</v>
      </c>
    </row>
    <row r="5" spans="1:10">
      <c r="A5" s="5" t="s">
        <v>47</v>
      </c>
      <c r="B5" s="6">
        <f>COUNTA('Source-to-Target Mapping'!A5:A104)</f>
        <v>32</v>
      </c>
      <c r="C5" t="s">
        <v>52</v>
      </c>
      <c r="E5" s="5" t="s">
        <v>53</v>
      </c>
      <c r="F5" s="7">
        <f>COUNTIF('Source-to-Target Mapping'!N5:N104,E5)</f>
        <v>6</v>
      </c>
      <c r="G5" s="7">
        <f>COUNTIFS('Source-to-Target Mapping'!N5:N104,E5,'Source-to-Target Mapping'!Q5:Q104,"Approved")</f>
        <v>5</v>
      </c>
      <c r="H5" s="7">
        <f>COUNTIFS('Source-to-Target Mapping'!N5:N104,E5,'Source-to-Target Mapping'!Q5:Q104,"Implemented")</f>
        <v>0</v>
      </c>
      <c r="I5" s="7">
        <f>COUNTIFS('Source-to-Target Mapping'!N5:N104,E5,'Source-to-Target Mapping'!Q5:Q104,"Tested")</f>
        <v>0</v>
      </c>
      <c r="J5" s="7">
        <f>F5-G5-H5-I5</f>
        <v>1</v>
      </c>
    </row>
    <row r="6" spans="1:10">
      <c r="A6" s="5" t="s">
        <v>54</v>
      </c>
      <c r="B6" s="6">
        <f>COUNTIF('Source-to-Target Mapping'!Q5:Q104,"Approved")</f>
        <v>25</v>
      </c>
      <c r="C6" t="s">
        <v>55</v>
      </c>
      <c r="E6" s="5" t="s">
        <v>56</v>
      </c>
      <c r="F6" s="7">
        <f>COUNTIF('Source-to-Target Mapping'!N5:N104,E6)</f>
        <v>0</v>
      </c>
      <c r="G6" s="7">
        <f>COUNTIFS('Source-to-Target Mapping'!N5:N104,E6,'Source-to-Target Mapping'!Q5:Q104,"Approved")</f>
        <v>0</v>
      </c>
      <c r="H6" s="7">
        <f>COUNTIFS('Source-to-Target Mapping'!N5:N104,E6,'Source-to-Target Mapping'!Q5:Q104,"Implemented")</f>
        <v>0</v>
      </c>
      <c r="I6" s="7">
        <f>COUNTIFS('Source-to-Target Mapping'!N5:N104,E6,'Source-to-Target Mapping'!Q5:Q104,"Tested")</f>
        <v>0</v>
      </c>
      <c r="J6" s="7">
        <f>F6-G6-H6-I6</f>
        <v>0</v>
      </c>
    </row>
    <row r="7" spans="1:10">
      <c r="A7" s="5" t="s">
        <v>57</v>
      </c>
      <c r="B7" s="6">
        <f>COUNTIF('Source-to-Target Mapping'!Q5:Q104,"Implemented")</f>
        <v>0</v>
      </c>
      <c r="C7" t="s">
        <v>58</v>
      </c>
      <c r="E7" s="5" t="s">
        <v>59</v>
      </c>
      <c r="F7" s="7">
        <f>COUNTIF('Source-to-Target Mapping'!N5:N104,E7)</f>
        <v>6</v>
      </c>
      <c r="G7" s="7">
        <f>COUNTIFS('Source-to-Target Mapping'!N5:N104,E7,'Source-to-Target Mapping'!Q5:Q104,"Approved")</f>
        <v>6</v>
      </c>
      <c r="H7" s="7">
        <f>COUNTIFS('Source-to-Target Mapping'!N5:N104,E7,'Source-to-Target Mapping'!Q5:Q104,"Implemented")</f>
        <v>0</v>
      </c>
      <c r="I7" s="7">
        <f>COUNTIFS('Source-to-Target Mapping'!N5:N104,E7,'Source-to-Target Mapping'!Q5:Q104,"Tested")</f>
        <v>0</v>
      </c>
      <c r="J7" s="7">
        <f>F7-G7-H7-I7</f>
        <v>0</v>
      </c>
    </row>
    <row r="8" spans="1:10">
      <c r="A8" s="5" t="s">
        <v>60</v>
      </c>
      <c r="B8" s="6">
        <f>COUNTIF('Source-to-Target Mapping'!Q5:Q104,"Tested")</f>
        <v>0</v>
      </c>
      <c r="C8" t="s">
        <v>61</v>
      </c>
      <c r="E8" s="5" t="s">
        <v>62</v>
      </c>
      <c r="F8" s="7">
        <f>COUNTIF('Source-to-Target Mapping'!N5:N104,E8)</f>
        <v>5</v>
      </c>
      <c r="G8" s="7">
        <f>COUNTIFS('Source-to-Target Mapping'!N5:N104,E8,'Source-to-Target Mapping'!Q5:Q104,"Approved")</f>
        <v>4</v>
      </c>
      <c r="H8" s="7">
        <f>COUNTIFS('Source-to-Target Mapping'!N5:N104,E8,'Source-to-Target Mapping'!Q5:Q104,"Implemented")</f>
        <v>0</v>
      </c>
      <c r="I8" s="7">
        <f>COUNTIFS('Source-to-Target Mapping'!N5:N104,E8,'Source-to-Target Mapping'!Q5:Q104,"Tested")</f>
        <v>0</v>
      </c>
      <c r="J8" s="7">
        <f>F8-G8-H8-I8</f>
        <v>1</v>
      </c>
    </row>
    <row r="9" spans="1:10">
      <c r="A9" s="5" t="s">
        <v>63</v>
      </c>
      <c r="B9" s="6">
        <f>COUNTIFS('Critical Data Elements'!G5:G104,"Tier 1",'Critical Data Elements'!L5:L104,"&lt;&gt;Approved",'Critical Data Elements'!L5:L104,"&lt;&gt;Tested")+COUNTIFS('Critical Data Elements'!G5:G104,"Tier 2",'Critical Data Elements'!L5:L104,"&lt;&gt;Approved",'Critical Data Elements'!L5:L104,"&lt;&gt;Tested")</f>
        <v>4</v>
      </c>
      <c r="C9" t="s">
        <v>64</v>
      </c>
      <c r="E9" s="5" t="s">
        <v>65</v>
      </c>
      <c r="F9" s="7">
        <f>COUNTIF('Source-to-Target Mapping'!N5:N104,E9)</f>
        <v>1</v>
      </c>
      <c r="G9" s="7">
        <f>COUNTIFS('Source-to-Target Mapping'!N5:N104,E9,'Source-to-Target Mapping'!Q5:Q104,"Approved")</f>
        <v>1</v>
      </c>
      <c r="H9" s="7">
        <f>COUNTIFS('Source-to-Target Mapping'!N5:N104,E9,'Source-to-Target Mapping'!Q5:Q104,"Implemented")</f>
        <v>0</v>
      </c>
      <c r="I9" s="7">
        <f>COUNTIFS('Source-to-Target Mapping'!N5:N104,E9,'Source-to-Target Mapping'!Q5:Q104,"Tested")</f>
        <v>0</v>
      </c>
      <c r="J9" s="7">
        <f>F9-G9-H9-I9</f>
        <v>0</v>
      </c>
    </row>
    <row r="10" spans="1:10">
      <c r="A10" s="5" t="s">
        <v>66</v>
      </c>
      <c r="B10" s="6">
        <f>COUNTIFS('Issues Decisions Log'!F5:F104,"High",'Issues Decisions Log'!I5:I104,"&lt;&gt;Closed")</f>
        <v>2</v>
      </c>
      <c r="C10" t="s">
        <v>67</v>
      </c>
      <c r="E10" s="5" t="s">
        <v>68</v>
      </c>
      <c r="F10" s="7">
        <f>COUNTIF('Source-to-Target Mapping'!N5:N104,E10)</f>
        <v>0</v>
      </c>
      <c r="G10" s="7">
        <f>COUNTIFS('Source-to-Target Mapping'!N5:N104,E10,'Source-to-Target Mapping'!Q5:Q104,"Approved")</f>
        <v>0</v>
      </c>
      <c r="H10" s="7">
        <f>COUNTIFS('Source-to-Target Mapping'!N5:N104,E10,'Source-to-Target Mapping'!Q5:Q104,"Implemented")</f>
        <v>0</v>
      </c>
      <c r="I10" s="7">
        <f>COUNTIFS('Source-to-Target Mapping'!N5:N104,E10,'Source-to-Target Mapping'!Q5:Q104,"Tested")</f>
        <v>0</v>
      </c>
      <c r="J10" s="7">
        <f>F10-G10-H10-I10</f>
        <v>0</v>
      </c>
    </row>
    <row r="11" spans="1:10">
      <c r="A11" s="5" t="s">
        <v>32</v>
      </c>
      <c r="B11" s="6">
        <f>COUNTA('Reconciliation Rules'!A5:A104)</f>
        <v>7</v>
      </c>
      <c r="C11" t="s">
        <v>69</v>
      </c>
      <c r="E11" s="5" t="s">
        <v>70</v>
      </c>
      <c r="F11" s="7">
        <f>COUNTIF('Source-to-Target Mapping'!N5:N104,E11)</f>
        <v>0</v>
      </c>
      <c r="G11" s="7">
        <f>COUNTIFS('Source-to-Target Mapping'!N5:N104,E11,'Source-to-Target Mapping'!Q5:Q104,"Approved")</f>
        <v>0</v>
      </c>
      <c r="H11" s="7">
        <f>COUNTIFS('Source-to-Target Mapping'!N5:N104,E11,'Source-to-Target Mapping'!Q5:Q104,"Implemented")</f>
        <v>0</v>
      </c>
      <c r="I11" s="7">
        <f>COUNTIFS('Source-to-Target Mapping'!N5:N104,E11,'Source-to-Target Mapping'!Q5:Q104,"Tested")</f>
        <v>0</v>
      </c>
      <c r="J11" s="7">
        <f>F11-G11-H11-I11</f>
        <v>0</v>
      </c>
    </row>
    <row r="12" spans="1:10">
      <c r="E12" s="5" t="s">
        <v>71</v>
      </c>
      <c r="F12" s="7">
        <f>COUNTIF('Source-to-Target Mapping'!N5:N104,E12)</f>
        <v>0</v>
      </c>
      <c r="G12" s="7">
        <f>COUNTIFS('Source-to-Target Mapping'!N5:N104,E12,'Source-to-Target Mapping'!Q5:Q104,"Approved")</f>
        <v>0</v>
      </c>
      <c r="H12" s="7">
        <f>COUNTIFS('Source-to-Target Mapping'!N5:N104,E12,'Source-to-Target Mapping'!Q5:Q104,"Implemented")</f>
        <v>0</v>
      </c>
      <c r="I12" s="7">
        <f>COUNTIFS('Source-to-Target Mapping'!N5:N104,E12,'Source-to-Target Mapping'!Q5:Q104,"Tested")</f>
        <v>0</v>
      </c>
      <c r="J12" s="7">
        <f>F12-G12-H12-I12</f>
        <v>0</v>
      </c>
    </row>
    <row r="13" spans="1:10">
      <c r="E13" s="5" t="s">
        <v>72</v>
      </c>
      <c r="F13" s="7">
        <f>COUNTIF('Source-to-Target Mapping'!N5:N104,E13)</f>
        <v>0</v>
      </c>
      <c r="G13" s="7">
        <f>COUNTIFS('Source-to-Target Mapping'!N5:N104,E13,'Source-to-Target Mapping'!Q5:Q104,"Approved")</f>
        <v>0</v>
      </c>
      <c r="H13" s="7">
        <f>COUNTIFS('Source-to-Target Mapping'!N5:N104,E13,'Source-to-Target Mapping'!Q5:Q104,"Implemented")</f>
        <v>0</v>
      </c>
      <c r="I13" s="7">
        <f>COUNTIFS('Source-to-Target Mapping'!N5:N104,E13,'Source-to-Target Mapping'!Q5:Q104,"Tested")</f>
        <v>0</v>
      </c>
      <c r="J13" s="7">
        <f>F13-G13-H13-I13</f>
        <v>0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7"/>
  <sheetViews>
    <sheetView zoomScaleNormal="100" zoomScaleSheetLayoutView="100" workbookViewId="0">
      <pane ySplit="1" topLeftCell="A2" activePane="bottomLeft" state="frozen"/>
      <selection pane="bottomLeft" activeCell="D19" sqref="D19"/>
    </sheetView>
  </sheetViews>
  <sheetFormatPr defaultRowHeight="14.25"/>
  <cols>
    <col min="1" max="1" width="14" style="12" customWidth="1"/>
    <col min="2" max="2" width="26" style="12" customWidth="1"/>
    <col min="3" max="3" width="20" style="12" customWidth="1"/>
    <col min="4" max="4" width="24" style="12" customWidth="1"/>
    <col min="5" max="5" width="22" style="12" customWidth="1"/>
    <col min="6" max="6" width="18" style="12" customWidth="1"/>
    <col min="7" max="7" width="30" style="12" customWidth="1"/>
    <col min="8" max="8" width="20" style="12" customWidth="1"/>
    <col min="9" max="9" width="18" style="12" customWidth="1"/>
    <col min="10" max="10" width="32" style="12" customWidth="1"/>
    <col min="11" max="11" width="40" style="12" customWidth="1"/>
    <col min="12" max="16384" width="9" style="12"/>
  </cols>
  <sheetData>
    <row r="1" spans="1:11" ht="30" customHeight="1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24" customHeight="1">
      <c r="A2" s="22" t="s">
        <v>73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33.950000000000003" customHeight="1">
      <c r="A4" s="2" t="s">
        <v>74</v>
      </c>
      <c r="B4" s="2" t="s">
        <v>75</v>
      </c>
      <c r="C4" s="2" t="s">
        <v>76</v>
      </c>
      <c r="D4" s="2" t="s">
        <v>77</v>
      </c>
      <c r="E4" s="2" t="s">
        <v>78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83</v>
      </c>
      <c r="K4" s="2" t="s">
        <v>84</v>
      </c>
    </row>
    <row r="5" spans="1:11" ht="33.75">
      <c r="A5" s="3" t="s">
        <v>85</v>
      </c>
      <c r="B5" s="3" t="s">
        <v>86</v>
      </c>
      <c r="C5" s="3" t="s">
        <v>87</v>
      </c>
      <c r="D5" s="3" t="s">
        <v>88</v>
      </c>
      <c r="E5" s="3" t="s">
        <v>89</v>
      </c>
      <c r="F5" s="3" t="s">
        <v>90</v>
      </c>
      <c r="G5" s="3" t="s">
        <v>91</v>
      </c>
      <c r="H5" s="3" t="s">
        <v>92</v>
      </c>
      <c r="I5" s="3" t="s">
        <v>93</v>
      </c>
      <c r="J5" s="3" t="s">
        <v>94</v>
      </c>
      <c r="K5" s="3" t="s">
        <v>95</v>
      </c>
    </row>
    <row r="6" spans="1:11" ht="16.5">
      <c r="A6" s="3" t="s">
        <v>96</v>
      </c>
      <c r="B6" s="3" t="s">
        <v>97</v>
      </c>
      <c r="C6" s="3" t="s">
        <v>98</v>
      </c>
      <c r="D6" s="3" t="s">
        <v>99</v>
      </c>
      <c r="E6" s="3" t="s">
        <v>100</v>
      </c>
      <c r="F6" s="3" t="s">
        <v>101</v>
      </c>
      <c r="G6" s="3" t="s">
        <v>102</v>
      </c>
      <c r="H6" s="3" t="s">
        <v>92</v>
      </c>
      <c r="I6" s="3" t="s">
        <v>103</v>
      </c>
      <c r="J6" s="3" t="s">
        <v>104</v>
      </c>
      <c r="K6" s="3" t="s">
        <v>105</v>
      </c>
    </row>
    <row r="7" spans="1:11" ht="33.75">
      <c r="A7" s="3" t="s">
        <v>106</v>
      </c>
      <c r="B7" s="3" t="s">
        <v>107</v>
      </c>
      <c r="C7" s="3" t="s">
        <v>108</v>
      </c>
      <c r="D7" s="3" t="s">
        <v>109</v>
      </c>
      <c r="E7" s="3" t="s">
        <v>110</v>
      </c>
      <c r="F7" s="3" t="s">
        <v>111</v>
      </c>
      <c r="G7" s="3" t="s">
        <v>112</v>
      </c>
      <c r="H7" s="3" t="s">
        <v>92</v>
      </c>
      <c r="I7" s="3" t="s">
        <v>113</v>
      </c>
      <c r="J7" s="3" t="s">
        <v>114</v>
      </c>
      <c r="K7" s="3" t="s">
        <v>115</v>
      </c>
    </row>
    <row r="8" spans="1:11" ht="16.5">
      <c r="A8" s="13" t="s">
        <v>116</v>
      </c>
      <c r="B8" s="13" t="s">
        <v>117</v>
      </c>
      <c r="C8" s="13" t="s">
        <v>118</v>
      </c>
      <c r="D8" s="14" t="s">
        <v>119</v>
      </c>
      <c r="E8" s="13" t="s">
        <v>120</v>
      </c>
      <c r="F8" s="13" t="s">
        <v>121</v>
      </c>
      <c r="G8" s="13" t="s">
        <v>122</v>
      </c>
      <c r="H8" s="15" t="s">
        <v>123</v>
      </c>
      <c r="I8" s="15" t="s">
        <v>93</v>
      </c>
      <c r="J8" s="13" t="s">
        <v>124</v>
      </c>
      <c r="K8" s="13" t="s">
        <v>125</v>
      </c>
    </row>
    <row r="9" spans="1:11" ht="16.5">
      <c r="A9" s="13" t="s">
        <v>126</v>
      </c>
      <c r="B9" s="12" t="s">
        <v>127</v>
      </c>
      <c r="C9" s="13" t="s">
        <v>128</v>
      </c>
      <c r="D9" s="13" t="s">
        <v>129</v>
      </c>
      <c r="E9" s="13" t="s">
        <v>130</v>
      </c>
      <c r="F9" s="13" t="s">
        <v>131</v>
      </c>
      <c r="G9" s="13" t="s">
        <v>132</v>
      </c>
      <c r="H9" s="12" t="s">
        <v>133</v>
      </c>
      <c r="I9" s="12" t="s">
        <v>93</v>
      </c>
      <c r="J9" s="13" t="s">
        <v>134</v>
      </c>
      <c r="K9" s="13" t="s">
        <v>135</v>
      </c>
    </row>
    <row r="10" spans="1:11" ht="16.5">
      <c r="A10" s="12" t="s">
        <v>136</v>
      </c>
      <c r="B10" s="13" t="s">
        <v>137</v>
      </c>
      <c r="C10" s="13" t="s">
        <v>138</v>
      </c>
      <c r="D10" s="12" t="s">
        <v>137</v>
      </c>
      <c r="E10" s="13" t="s">
        <v>134</v>
      </c>
      <c r="F10" s="12" t="s">
        <v>139</v>
      </c>
      <c r="G10" s="13" t="s">
        <v>140</v>
      </c>
      <c r="H10" s="12" t="s">
        <v>133</v>
      </c>
      <c r="I10" s="12" t="s">
        <v>141</v>
      </c>
      <c r="J10" s="13" t="s">
        <v>142</v>
      </c>
      <c r="K10" s="13" t="s">
        <v>143</v>
      </c>
    </row>
    <row r="11" spans="1:11" ht="16.5">
      <c r="A11" s="13" t="s">
        <v>144</v>
      </c>
      <c r="B11" s="12" t="s">
        <v>145</v>
      </c>
      <c r="C11" s="13" t="s">
        <v>128</v>
      </c>
      <c r="D11" s="13" t="s">
        <v>146</v>
      </c>
      <c r="E11" s="13" t="s">
        <v>147</v>
      </c>
      <c r="F11" s="12" t="s">
        <v>148</v>
      </c>
      <c r="G11" s="12" t="s">
        <v>149</v>
      </c>
      <c r="H11" s="12" t="s">
        <v>92</v>
      </c>
      <c r="I11" s="12" t="s">
        <v>141</v>
      </c>
      <c r="J11" s="12" t="s">
        <v>150</v>
      </c>
      <c r="K11" s="13" t="s">
        <v>151</v>
      </c>
    </row>
    <row r="12" spans="1:11" ht="33.75">
      <c r="A12" s="13" t="s">
        <v>152</v>
      </c>
      <c r="B12" s="12" t="s">
        <v>153</v>
      </c>
      <c r="C12" s="12" t="s">
        <v>154</v>
      </c>
      <c r="D12" s="13" t="s">
        <v>155</v>
      </c>
      <c r="E12" s="13" t="s">
        <v>156</v>
      </c>
      <c r="F12" s="13" t="s">
        <v>157</v>
      </c>
      <c r="G12" s="12" t="s">
        <v>158</v>
      </c>
      <c r="H12" s="13" t="s">
        <v>123</v>
      </c>
      <c r="I12" s="13" t="s">
        <v>159</v>
      </c>
      <c r="J12" s="13" t="s">
        <v>160</v>
      </c>
      <c r="K12" s="13" t="s">
        <v>161</v>
      </c>
    </row>
    <row r="14" spans="1:11" ht="15">
      <c r="A14" s="3"/>
      <c r="B14" s="15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11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</sheetData>
  <mergeCells count="2">
    <mergeCell ref="A1:K1"/>
    <mergeCell ref="A2:K2"/>
  </mergeCells>
  <dataValidations count="3">
    <dataValidation type="list" sqref="C5:C7 C14:C47" xr:uid="{00000000-0002-0000-0200-000000000000}">
      <formula1>"Application/DB,Application/API,Database,File Extract,Content Repository,Report,Data Warehouse,External Vendor"</formula1>
    </dataValidation>
    <dataValidation type="list" sqref="H5:H7 H14:H47" xr:uid="{00000000-0002-0000-0200-000001000000}">
      <formula1>"Public,Internal,Confidential,PII,NPI,PCI"</formula1>
    </dataValidation>
    <dataValidation type="list" sqref="I5:I7 I14:I47" xr:uid="{00000000-0002-0000-0200-000002000000}">
      <formula1>"Source,Target,Source/Reference,Archive,Downstream Consumer"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7"/>
  <sheetViews>
    <sheetView topLeftCell="B4" zoomScaleNormal="100" zoomScaleSheetLayoutView="100" workbookViewId="0">
      <selection activeCell="D33" sqref="D33"/>
    </sheetView>
  </sheetViews>
  <sheetFormatPr defaultRowHeight="15"/>
  <cols>
    <col min="1" max="1" width="16" customWidth="1"/>
    <col min="2" max="2" width="24" customWidth="1"/>
    <col min="3" max="4" width="22" customWidth="1"/>
    <col min="5" max="5" width="20" customWidth="1"/>
    <col min="6" max="6" width="26" customWidth="1"/>
    <col min="7" max="7" width="46" customWidth="1"/>
    <col min="8" max="8" width="14" customWidth="1"/>
    <col min="9" max="9" width="10" customWidth="1"/>
    <col min="10" max="10" width="12" customWidth="1"/>
    <col min="11" max="11" width="28" customWidth="1"/>
    <col min="12" max="13" width="18" customWidth="1"/>
    <col min="14" max="14" width="40" customWidth="1"/>
    <col min="15" max="15" width="20" customWidth="1"/>
  </cols>
  <sheetData>
    <row r="1" spans="1:15" ht="30" customHeight="1">
      <c r="A1" s="18" t="s">
        <v>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4" customHeight="1">
      <c r="A2" s="19" t="s">
        <v>162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spans="1:15" ht="33.950000000000003" customHeight="1">
      <c r="A4" s="2" t="s">
        <v>163</v>
      </c>
      <c r="B4" s="2" t="s">
        <v>164</v>
      </c>
      <c r="C4" s="2" t="s">
        <v>165</v>
      </c>
      <c r="D4" s="2" t="s">
        <v>166</v>
      </c>
      <c r="E4" s="2" t="s">
        <v>167</v>
      </c>
      <c r="F4" s="2" t="s">
        <v>168</v>
      </c>
      <c r="G4" s="2" t="s">
        <v>169</v>
      </c>
      <c r="H4" s="2" t="s">
        <v>170</v>
      </c>
      <c r="I4" s="2" t="s">
        <v>171</v>
      </c>
      <c r="J4" s="2" t="s">
        <v>172</v>
      </c>
      <c r="K4" s="2" t="s">
        <v>173</v>
      </c>
      <c r="L4" s="2" t="s">
        <v>174</v>
      </c>
      <c r="M4" s="2" t="s">
        <v>81</v>
      </c>
      <c r="N4" s="2" t="s">
        <v>175</v>
      </c>
      <c r="O4" s="2" t="s">
        <v>176</v>
      </c>
    </row>
    <row r="5" spans="1:15" ht="16.5">
      <c r="A5" s="3" t="s">
        <v>177</v>
      </c>
      <c r="B5" s="3" t="s">
        <v>86</v>
      </c>
      <c r="C5" s="3" t="s">
        <v>178</v>
      </c>
      <c r="D5" s="3" t="s">
        <v>179</v>
      </c>
      <c r="E5" s="3" t="s">
        <v>180</v>
      </c>
      <c r="F5" s="3" t="s">
        <v>181</v>
      </c>
      <c r="G5" s="3" t="s">
        <v>182</v>
      </c>
      <c r="H5" s="3" t="s">
        <v>183</v>
      </c>
      <c r="I5" s="3">
        <v>20</v>
      </c>
      <c r="J5" s="3" t="s">
        <v>184</v>
      </c>
      <c r="K5" s="3" t="s">
        <v>185</v>
      </c>
      <c r="L5" s="3">
        <v>1234567890</v>
      </c>
      <c r="M5" s="3" t="s">
        <v>92</v>
      </c>
      <c r="N5" s="3" t="s">
        <v>186</v>
      </c>
      <c r="O5" s="3" t="s">
        <v>90</v>
      </c>
    </row>
    <row r="6" spans="1:15" ht="16.5">
      <c r="A6" s="3" t="s">
        <v>187</v>
      </c>
      <c r="B6" s="3" t="s">
        <v>86</v>
      </c>
      <c r="C6" s="3" t="s">
        <v>178</v>
      </c>
      <c r="D6" s="3" t="s">
        <v>188</v>
      </c>
      <c r="E6" s="3" t="s">
        <v>189</v>
      </c>
      <c r="F6" s="3" t="s">
        <v>190</v>
      </c>
      <c r="G6" s="3" t="s">
        <v>191</v>
      </c>
      <c r="H6" s="3" t="s">
        <v>192</v>
      </c>
      <c r="I6" s="3" t="s">
        <v>193</v>
      </c>
      <c r="J6" s="3" t="s">
        <v>184</v>
      </c>
      <c r="K6" s="3" t="s">
        <v>194</v>
      </c>
      <c r="L6" s="3">
        <v>245000</v>
      </c>
      <c r="M6" s="3" t="s">
        <v>195</v>
      </c>
      <c r="N6" s="3" t="s">
        <v>196</v>
      </c>
      <c r="O6" s="3" t="s">
        <v>90</v>
      </c>
    </row>
    <row r="7" spans="1:15" ht="16.5">
      <c r="A7" s="3" t="s">
        <v>197</v>
      </c>
      <c r="B7" s="3" t="s">
        <v>86</v>
      </c>
      <c r="C7" s="3" t="s">
        <v>178</v>
      </c>
      <c r="D7" s="3" t="s">
        <v>198</v>
      </c>
      <c r="E7" s="3" t="s">
        <v>199</v>
      </c>
      <c r="F7" s="3" t="s">
        <v>200</v>
      </c>
      <c r="G7" s="3" t="s">
        <v>201</v>
      </c>
      <c r="H7" s="3" t="s">
        <v>183</v>
      </c>
      <c r="I7" s="3">
        <v>10</v>
      </c>
      <c r="J7" s="3" t="s">
        <v>184</v>
      </c>
      <c r="K7" s="3" t="s">
        <v>202</v>
      </c>
      <c r="L7" s="3" t="s">
        <v>203</v>
      </c>
      <c r="M7" s="3" t="s">
        <v>204</v>
      </c>
      <c r="N7" s="3" t="s">
        <v>205</v>
      </c>
      <c r="O7" s="3" t="s">
        <v>101</v>
      </c>
    </row>
    <row r="8" spans="1:15">
      <c r="A8" t="s">
        <v>206</v>
      </c>
      <c r="B8" t="s">
        <v>86</v>
      </c>
      <c r="C8" t="s">
        <v>178</v>
      </c>
      <c r="D8" t="s">
        <v>207</v>
      </c>
      <c r="E8" t="s">
        <v>208</v>
      </c>
      <c r="F8" t="s">
        <v>209</v>
      </c>
      <c r="G8" t="s">
        <v>210</v>
      </c>
      <c r="H8" t="s">
        <v>183</v>
      </c>
      <c r="I8">
        <v>15</v>
      </c>
      <c r="J8" t="s">
        <v>184</v>
      </c>
      <c r="K8" t="s">
        <v>211</v>
      </c>
      <c r="L8" t="s">
        <v>212</v>
      </c>
      <c r="M8" t="s">
        <v>92</v>
      </c>
      <c r="N8" t="s">
        <v>213</v>
      </c>
      <c r="O8" s="10" t="s">
        <v>90</v>
      </c>
    </row>
    <row r="9" spans="1:15" ht="14.25">
      <c r="A9" t="s">
        <v>214</v>
      </c>
      <c r="B9" t="s">
        <v>86</v>
      </c>
      <c r="C9" t="s">
        <v>178</v>
      </c>
      <c r="D9" t="s">
        <v>207</v>
      </c>
      <c r="E9" t="s">
        <v>215</v>
      </c>
      <c r="F9" t="s">
        <v>216</v>
      </c>
      <c r="G9" t="s">
        <v>217</v>
      </c>
      <c r="H9" t="s">
        <v>183</v>
      </c>
      <c r="I9">
        <v>50</v>
      </c>
      <c r="J9" t="s">
        <v>184</v>
      </c>
      <c r="K9" t="s">
        <v>218</v>
      </c>
      <c r="L9" t="s">
        <v>219</v>
      </c>
      <c r="M9" t="s">
        <v>123</v>
      </c>
      <c r="N9" t="s">
        <v>220</v>
      </c>
      <c r="O9" t="s">
        <v>90</v>
      </c>
    </row>
    <row r="10" spans="1:15" ht="16.5">
      <c r="A10" s="3" t="s">
        <v>221</v>
      </c>
      <c r="B10" s="3" t="s">
        <v>86</v>
      </c>
      <c r="C10" s="3" t="s">
        <v>178</v>
      </c>
      <c r="D10" s="3" t="s">
        <v>207</v>
      </c>
      <c r="E10" s="3" t="s">
        <v>222</v>
      </c>
      <c r="F10" s="3" t="s">
        <v>223</v>
      </c>
      <c r="G10" s="3" t="s">
        <v>224</v>
      </c>
      <c r="H10" s="3" t="s">
        <v>183</v>
      </c>
      <c r="I10" s="3">
        <v>50</v>
      </c>
      <c r="J10" s="3" t="s">
        <v>184</v>
      </c>
      <c r="K10" s="3" t="s">
        <v>218</v>
      </c>
      <c r="L10" s="3" t="s">
        <v>225</v>
      </c>
      <c r="M10" s="3" t="s">
        <v>123</v>
      </c>
      <c r="N10" s="3" t="s">
        <v>220</v>
      </c>
      <c r="O10" s="3" t="s">
        <v>90</v>
      </c>
    </row>
    <row r="11" spans="1:15" ht="16.5">
      <c r="A11" s="3" t="s">
        <v>226</v>
      </c>
      <c r="B11" s="3" t="s">
        <v>86</v>
      </c>
      <c r="C11" s="3" t="s">
        <v>178</v>
      </c>
      <c r="D11" s="3" t="s">
        <v>207</v>
      </c>
      <c r="E11" s="3" t="s">
        <v>227</v>
      </c>
      <c r="F11" s="3" t="s">
        <v>228</v>
      </c>
      <c r="G11" s="3" t="s">
        <v>229</v>
      </c>
      <c r="H11" s="3" t="s">
        <v>230</v>
      </c>
      <c r="I11" s="3">
        <v>10</v>
      </c>
      <c r="J11" s="3" t="s">
        <v>231</v>
      </c>
      <c r="K11" s="3" t="s">
        <v>232</v>
      </c>
      <c r="L11" s="16">
        <v>31240</v>
      </c>
      <c r="M11" s="3" t="s">
        <v>123</v>
      </c>
      <c r="N11" s="3" t="s">
        <v>233</v>
      </c>
      <c r="O11" s="3" t="s">
        <v>90</v>
      </c>
    </row>
    <row r="12" spans="1:15" ht="16.5">
      <c r="A12" s="3" t="s">
        <v>234</v>
      </c>
      <c r="B12" s="3" t="s">
        <v>86</v>
      </c>
      <c r="C12" s="3" t="s">
        <v>178</v>
      </c>
      <c r="D12" s="3" t="s">
        <v>207</v>
      </c>
      <c r="E12" s="3" t="s">
        <v>235</v>
      </c>
      <c r="F12" s="3" t="s">
        <v>236</v>
      </c>
      <c r="G12" s="3" t="s">
        <v>237</v>
      </c>
      <c r="H12" s="3" t="s">
        <v>183</v>
      </c>
      <c r="I12" s="3">
        <v>100</v>
      </c>
      <c r="J12" s="3" t="s">
        <v>231</v>
      </c>
      <c r="K12" s="3" t="s">
        <v>238</v>
      </c>
      <c r="L12" s="3" t="s">
        <v>239</v>
      </c>
      <c r="M12" s="3" t="s">
        <v>123</v>
      </c>
      <c r="N12" s="3" t="s">
        <v>240</v>
      </c>
      <c r="O12" s="3" t="s">
        <v>90</v>
      </c>
    </row>
    <row r="13" spans="1:15" ht="16.5">
      <c r="A13" s="3" t="s">
        <v>241</v>
      </c>
      <c r="B13" s="3" t="s">
        <v>86</v>
      </c>
      <c r="C13" s="3" t="s">
        <v>178</v>
      </c>
      <c r="D13" s="3" t="s">
        <v>207</v>
      </c>
      <c r="E13" s="3" t="s">
        <v>242</v>
      </c>
      <c r="F13" s="3" t="s">
        <v>243</v>
      </c>
      <c r="G13" s="3" t="s">
        <v>244</v>
      </c>
      <c r="H13" s="3" t="s">
        <v>183</v>
      </c>
      <c r="I13" s="3">
        <v>15</v>
      </c>
      <c r="J13" s="3" t="s">
        <v>231</v>
      </c>
      <c r="K13" s="3" t="s">
        <v>245</v>
      </c>
      <c r="L13" s="3">
        <v>9725551234</v>
      </c>
      <c r="M13" s="3" t="s">
        <v>123</v>
      </c>
      <c r="N13" s="3" t="s">
        <v>246</v>
      </c>
      <c r="O13" s="3" t="s">
        <v>90</v>
      </c>
    </row>
    <row r="14" spans="1:15" ht="16.5">
      <c r="A14" s="3" t="s">
        <v>247</v>
      </c>
      <c r="B14" s="3" t="s">
        <v>86</v>
      </c>
      <c r="C14" s="3" t="s">
        <v>178</v>
      </c>
      <c r="D14" s="3" t="s">
        <v>179</v>
      </c>
      <c r="E14" s="3" t="s">
        <v>248</v>
      </c>
      <c r="F14" s="3" t="s">
        <v>249</v>
      </c>
      <c r="G14" s="3" t="s">
        <v>250</v>
      </c>
      <c r="H14" s="3" t="s">
        <v>183</v>
      </c>
      <c r="I14" s="3">
        <v>20</v>
      </c>
      <c r="J14" s="3" t="s">
        <v>184</v>
      </c>
      <c r="K14" s="3" t="s">
        <v>251</v>
      </c>
      <c r="L14" s="3" t="s">
        <v>252</v>
      </c>
      <c r="M14" s="3" t="s">
        <v>204</v>
      </c>
      <c r="N14" s="3" t="s">
        <v>253</v>
      </c>
      <c r="O14" s="3" t="s">
        <v>90</v>
      </c>
    </row>
    <row r="15" spans="1:15" ht="16.5">
      <c r="A15" s="3" t="s">
        <v>254</v>
      </c>
      <c r="B15" s="3" t="s">
        <v>86</v>
      </c>
      <c r="C15" s="3" t="s">
        <v>178</v>
      </c>
      <c r="D15" s="3" t="s">
        <v>179</v>
      </c>
      <c r="E15" s="3" t="s">
        <v>255</v>
      </c>
      <c r="F15" s="3" t="s">
        <v>256</v>
      </c>
      <c r="G15" s="3" t="s">
        <v>257</v>
      </c>
      <c r="H15" s="3" t="s">
        <v>192</v>
      </c>
      <c r="I15" s="3" t="s">
        <v>258</v>
      </c>
      <c r="J15" s="3" t="s">
        <v>184</v>
      </c>
      <c r="K15" s="3" t="s">
        <v>194</v>
      </c>
      <c r="L15" s="3">
        <v>5.25</v>
      </c>
      <c r="M15" s="3" t="s">
        <v>133</v>
      </c>
      <c r="N15" s="3" t="s">
        <v>259</v>
      </c>
      <c r="O15" s="3" t="s">
        <v>90</v>
      </c>
    </row>
    <row r="16" spans="1:15" ht="16.5">
      <c r="A16" s="3" t="s">
        <v>260</v>
      </c>
      <c r="B16" s="3" t="s">
        <v>86</v>
      </c>
      <c r="C16" s="3" t="s">
        <v>178</v>
      </c>
      <c r="D16" s="3" t="s">
        <v>261</v>
      </c>
      <c r="E16" s="3" t="s">
        <v>262</v>
      </c>
      <c r="F16" s="3" t="s">
        <v>263</v>
      </c>
      <c r="G16" s="3" t="s">
        <v>264</v>
      </c>
      <c r="H16" s="3" t="s">
        <v>192</v>
      </c>
      <c r="I16" s="3" t="s">
        <v>193</v>
      </c>
      <c r="J16" s="3" t="s">
        <v>231</v>
      </c>
      <c r="K16" s="3" t="s">
        <v>194</v>
      </c>
      <c r="L16" s="3">
        <v>3200.75</v>
      </c>
      <c r="M16" s="3" t="s">
        <v>133</v>
      </c>
      <c r="N16" s="3" t="s">
        <v>265</v>
      </c>
      <c r="O16" s="3" t="s">
        <v>131</v>
      </c>
    </row>
    <row r="17" spans="1:15" ht="16.5">
      <c r="A17" s="3" t="s">
        <v>266</v>
      </c>
      <c r="B17" s="3" t="s">
        <v>86</v>
      </c>
      <c r="C17" s="3" t="s">
        <v>178</v>
      </c>
      <c r="D17" s="3" t="s">
        <v>267</v>
      </c>
      <c r="E17" s="3" t="s">
        <v>268</v>
      </c>
      <c r="F17" s="3" t="s">
        <v>269</v>
      </c>
      <c r="G17" s="3" t="s">
        <v>270</v>
      </c>
      <c r="H17" s="3" t="s">
        <v>183</v>
      </c>
      <c r="I17" s="3">
        <v>100</v>
      </c>
      <c r="J17" s="3" t="s">
        <v>184</v>
      </c>
      <c r="K17" s="3" t="s">
        <v>271</v>
      </c>
      <c r="L17" s="3" t="s">
        <v>272</v>
      </c>
      <c r="M17" s="3" t="s">
        <v>123</v>
      </c>
      <c r="N17" s="3" t="s">
        <v>273</v>
      </c>
      <c r="O17" s="3" t="s">
        <v>121</v>
      </c>
    </row>
    <row r="18" spans="1:15" ht="16.5">
      <c r="A18" s="3" t="s">
        <v>274</v>
      </c>
      <c r="B18" s="3" t="s">
        <v>86</v>
      </c>
      <c r="C18" s="3" t="s">
        <v>178</v>
      </c>
      <c r="D18" s="3" t="s">
        <v>267</v>
      </c>
      <c r="E18" s="3" t="s">
        <v>275</v>
      </c>
      <c r="F18" s="3" t="s">
        <v>276</v>
      </c>
      <c r="G18" s="3" t="s">
        <v>277</v>
      </c>
      <c r="H18" s="3" t="s">
        <v>183</v>
      </c>
      <c r="I18" s="3">
        <v>50</v>
      </c>
      <c r="J18" s="3" t="s">
        <v>184</v>
      </c>
      <c r="K18" s="3" t="s">
        <v>278</v>
      </c>
      <c r="L18" s="3" t="s">
        <v>279</v>
      </c>
      <c r="M18" s="3" t="s">
        <v>204</v>
      </c>
      <c r="N18" s="3" t="s">
        <v>280</v>
      </c>
      <c r="O18" s="3" t="s">
        <v>121</v>
      </c>
    </row>
    <row r="19" spans="1:15" ht="16.5">
      <c r="A19" s="3" t="s">
        <v>281</v>
      </c>
      <c r="B19" s="3" t="s">
        <v>86</v>
      </c>
      <c r="C19" s="3" t="s">
        <v>178</v>
      </c>
      <c r="D19" s="3" t="s">
        <v>267</v>
      </c>
      <c r="E19" s="3" t="s">
        <v>282</v>
      </c>
      <c r="F19" s="3" t="s">
        <v>283</v>
      </c>
      <c r="G19" s="3" t="s">
        <v>284</v>
      </c>
      <c r="H19" s="3" t="s">
        <v>183</v>
      </c>
      <c r="I19" s="3">
        <v>2</v>
      </c>
      <c r="J19" s="3" t="s">
        <v>184</v>
      </c>
      <c r="K19" s="3" t="s">
        <v>285</v>
      </c>
      <c r="L19" s="3" t="s">
        <v>286</v>
      </c>
      <c r="M19" s="3" t="s">
        <v>204</v>
      </c>
      <c r="N19" s="3" t="s">
        <v>287</v>
      </c>
      <c r="O19" s="3" t="s">
        <v>121</v>
      </c>
    </row>
    <row r="20" spans="1:15" ht="16.5">
      <c r="A20" s="3" t="s">
        <v>288</v>
      </c>
      <c r="B20" s="3" t="s">
        <v>86</v>
      </c>
      <c r="C20" s="3" t="s">
        <v>178</v>
      </c>
      <c r="D20" s="3" t="s">
        <v>267</v>
      </c>
      <c r="E20" s="3" t="s">
        <v>289</v>
      </c>
      <c r="F20" s="3" t="s">
        <v>290</v>
      </c>
      <c r="G20" s="3" t="s">
        <v>291</v>
      </c>
      <c r="H20" s="3" t="s">
        <v>183</v>
      </c>
      <c r="I20" s="3">
        <v>10</v>
      </c>
      <c r="J20" s="3" t="s">
        <v>184</v>
      </c>
      <c r="K20" s="3" t="s">
        <v>292</v>
      </c>
      <c r="L20" s="3">
        <v>75070</v>
      </c>
      <c r="M20" s="3" t="s">
        <v>204</v>
      </c>
      <c r="N20" s="3" t="s">
        <v>293</v>
      </c>
      <c r="O20" s="3" t="s">
        <v>121</v>
      </c>
    </row>
    <row r="21" spans="1:15" ht="16.5">
      <c r="A21" s="3" t="s">
        <v>294</v>
      </c>
      <c r="B21" s="3" t="s">
        <v>97</v>
      </c>
      <c r="C21" s="3" t="s">
        <v>295</v>
      </c>
      <c r="D21" s="3" t="s">
        <v>198</v>
      </c>
      <c r="E21" s="3" t="s">
        <v>296</v>
      </c>
      <c r="F21" s="3" t="s">
        <v>297</v>
      </c>
      <c r="G21" s="3" t="s">
        <v>298</v>
      </c>
      <c r="H21" s="3" t="s">
        <v>230</v>
      </c>
      <c r="I21" s="3">
        <v>10</v>
      </c>
      <c r="J21" s="3" t="s">
        <v>184</v>
      </c>
      <c r="K21" s="3" t="s">
        <v>232</v>
      </c>
      <c r="L21" s="16">
        <v>46037</v>
      </c>
      <c r="M21" s="3" t="s">
        <v>133</v>
      </c>
      <c r="N21" s="3" t="s">
        <v>299</v>
      </c>
      <c r="O21" s="3" t="s">
        <v>101</v>
      </c>
    </row>
    <row r="22" spans="1:15" ht="16.5">
      <c r="A22" s="3" t="s">
        <v>300</v>
      </c>
      <c r="B22" s="3" t="s">
        <v>97</v>
      </c>
      <c r="C22" s="3" t="s">
        <v>295</v>
      </c>
      <c r="D22" s="3" t="s">
        <v>198</v>
      </c>
      <c r="E22" s="3" t="s">
        <v>301</v>
      </c>
      <c r="F22" s="3" t="s">
        <v>302</v>
      </c>
      <c r="G22" s="3" t="s">
        <v>303</v>
      </c>
      <c r="H22" s="3" t="s">
        <v>192</v>
      </c>
      <c r="I22" s="3" t="s">
        <v>193</v>
      </c>
      <c r="J22" s="3" t="s">
        <v>184</v>
      </c>
      <c r="K22" s="3" t="s">
        <v>194</v>
      </c>
      <c r="L22" s="3">
        <v>1500</v>
      </c>
      <c r="M22" s="3" t="s">
        <v>133</v>
      </c>
      <c r="N22" s="3" t="s">
        <v>304</v>
      </c>
      <c r="O22" s="3" t="s">
        <v>101</v>
      </c>
    </row>
    <row r="23" spans="1:15" ht="16.5">
      <c r="A23" s="3" t="s">
        <v>305</v>
      </c>
      <c r="B23" s="3" t="s">
        <v>97</v>
      </c>
      <c r="C23" s="3" t="s">
        <v>295</v>
      </c>
      <c r="D23" s="3" t="s">
        <v>198</v>
      </c>
      <c r="E23" s="3" t="s">
        <v>306</v>
      </c>
      <c r="F23" s="3" t="s">
        <v>307</v>
      </c>
      <c r="G23" s="3" t="s">
        <v>308</v>
      </c>
      <c r="H23" s="3" t="s">
        <v>183</v>
      </c>
      <c r="I23" s="3">
        <v>20</v>
      </c>
      <c r="J23" s="3" t="s">
        <v>231</v>
      </c>
      <c r="K23" s="3" t="s">
        <v>309</v>
      </c>
      <c r="L23" s="3" t="s">
        <v>310</v>
      </c>
      <c r="M23" s="3" t="s">
        <v>204</v>
      </c>
      <c r="N23" s="3" t="s">
        <v>311</v>
      </c>
      <c r="O23" s="3" t="s">
        <v>101</v>
      </c>
    </row>
    <row r="24" spans="1:15" ht="16.5">
      <c r="A24" s="3" t="s">
        <v>312</v>
      </c>
      <c r="B24" s="3" t="s">
        <v>97</v>
      </c>
      <c r="C24" s="3" t="s">
        <v>295</v>
      </c>
      <c r="D24" s="3" t="s">
        <v>198</v>
      </c>
      <c r="E24" s="3" t="s">
        <v>313</v>
      </c>
      <c r="F24" s="3" t="s">
        <v>314</v>
      </c>
      <c r="G24" s="3" t="s">
        <v>315</v>
      </c>
      <c r="H24" s="3" t="s">
        <v>183</v>
      </c>
      <c r="I24" s="3">
        <v>1</v>
      </c>
      <c r="J24" s="3" t="s">
        <v>184</v>
      </c>
      <c r="K24" s="3" t="s">
        <v>316</v>
      </c>
      <c r="L24" s="3" t="s">
        <v>317</v>
      </c>
      <c r="M24" s="3" t="s">
        <v>204</v>
      </c>
      <c r="N24" s="3" t="s">
        <v>318</v>
      </c>
      <c r="O24" s="3" t="s">
        <v>101</v>
      </c>
    </row>
    <row r="25" spans="1:15" ht="16.5">
      <c r="A25" s="3" t="s">
        <v>319</v>
      </c>
      <c r="B25" s="3" t="s">
        <v>107</v>
      </c>
      <c r="C25" s="3" t="s">
        <v>320</v>
      </c>
      <c r="D25" s="3" t="s">
        <v>321</v>
      </c>
      <c r="E25" s="3" t="s">
        <v>322</v>
      </c>
      <c r="F25" s="3" t="s">
        <v>323</v>
      </c>
      <c r="G25" s="3" t="s">
        <v>324</v>
      </c>
      <c r="H25" s="3" t="s">
        <v>183</v>
      </c>
      <c r="I25" s="3">
        <v>30</v>
      </c>
      <c r="J25" s="3" t="s">
        <v>184</v>
      </c>
      <c r="K25" s="3" t="s">
        <v>325</v>
      </c>
      <c r="L25" s="3" t="s">
        <v>326</v>
      </c>
      <c r="M25" s="3" t="s">
        <v>92</v>
      </c>
      <c r="N25" s="3" t="s">
        <v>327</v>
      </c>
      <c r="O25" s="3" t="s">
        <v>111</v>
      </c>
    </row>
    <row r="26" spans="1:15" ht="16.5">
      <c r="A26" s="3" t="s">
        <v>328</v>
      </c>
      <c r="B26" s="3" t="s">
        <v>107</v>
      </c>
      <c r="C26" s="3" t="s">
        <v>320</v>
      </c>
      <c r="D26" s="3" t="s">
        <v>321</v>
      </c>
      <c r="E26" s="3" t="s">
        <v>329</v>
      </c>
      <c r="F26" s="3" t="s">
        <v>330</v>
      </c>
      <c r="G26" s="3" t="s">
        <v>331</v>
      </c>
      <c r="H26" s="3" t="s">
        <v>183</v>
      </c>
      <c r="I26" s="3">
        <v>30</v>
      </c>
      <c r="J26" s="3" t="s">
        <v>184</v>
      </c>
      <c r="K26" s="3" t="s">
        <v>332</v>
      </c>
      <c r="L26" s="3" t="s">
        <v>333</v>
      </c>
      <c r="M26" s="3" t="s">
        <v>204</v>
      </c>
      <c r="N26" s="3" t="s">
        <v>334</v>
      </c>
      <c r="O26" s="3" t="s">
        <v>111</v>
      </c>
    </row>
    <row r="27" spans="1:15" ht="16.5">
      <c r="A27" s="3" t="s">
        <v>335</v>
      </c>
      <c r="B27" s="3" t="s">
        <v>107</v>
      </c>
      <c r="C27" s="3" t="s">
        <v>320</v>
      </c>
      <c r="D27" s="3" t="s">
        <v>321</v>
      </c>
      <c r="E27" s="3" t="s">
        <v>336</v>
      </c>
      <c r="F27" s="3" t="s">
        <v>337</v>
      </c>
      <c r="G27" s="3" t="s">
        <v>338</v>
      </c>
      <c r="H27" s="3" t="s">
        <v>230</v>
      </c>
      <c r="I27" s="3">
        <v>10</v>
      </c>
      <c r="J27" s="3" t="s">
        <v>231</v>
      </c>
      <c r="K27" s="3" t="s">
        <v>232</v>
      </c>
      <c r="L27" s="16">
        <v>45991</v>
      </c>
      <c r="M27" s="3" t="s">
        <v>204</v>
      </c>
      <c r="N27" s="3" t="s">
        <v>339</v>
      </c>
      <c r="O27" s="3" t="s">
        <v>111</v>
      </c>
    </row>
    <row r="28" spans="1:15" ht="16.5">
      <c r="A28" s="3" t="s">
        <v>340</v>
      </c>
      <c r="B28" s="3" t="s">
        <v>86</v>
      </c>
      <c r="C28" s="3" t="s">
        <v>178</v>
      </c>
      <c r="D28" s="3" t="s">
        <v>207</v>
      </c>
      <c r="E28" s="3" t="s">
        <v>341</v>
      </c>
      <c r="F28" s="3" t="s">
        <v>342</v>
      </c>
      <c r="G28" s="3"/>
      <c r="H28" s="3" t="s">
        <v>183</v>
      </c>
      <c r="I28" s="3">
        <v>100</v>
      </c>
      <c r="J28" s="3" t="s">
        <v>231</v>
      </c>
      <c r="K28" s="3" t="s">
        <v>271</v>
      </c>
      <c r="L28" s="3" t="s">
        <v>343</v>
      </c>
      <c r="M28" s="3" t="s">
        <v>123</v>
      </c>
      <c r="N28" s="3" t="s">
        <v>344</v>
      </c>
      <c r="O28" s="3" t="s">
        <v>90</v>
      </c>
    </row>
    <row r="29" spans="1:15" ht="16.5">
      <c r="A29" s="3" t="s">
        <v>345</v>
      </c>
      <c r="B29" s="3" t="s">
        <v>86</v>
      </c>
      <c r="C29" s="3" t="s">
        <v>178</v>
      </c>
      <c r="D29" s="3" t="s">
        <v>207</v>
      </c>
      <c r="E29" s="3" t="s">
        <v>346</v>
      </c>
      <c r="F29" s="3" t="s">
        <v>347</v>
      </c>
      <c r="G29" s="3" t="s">
        <v>348</v>
      </c>
      <c r="H29" s="3" t="s">
        <v>183</v>
      </c>
      <c r="I29" s="3">
        <v>20</v>
      </c>
      <c r="J29" s="3" t="s">
        <v>184</v>
      </c>
      <c r="K29" s="3" t="s">
        <v>349</v>
      </c>
      <c r="L29" s="3" t="s">
        <v>56</v>
      </c>
      <c r="M29" s="3" t="s">
        <v>92</v>
      </c>
      <c r="N29" s="3"/>
      <c r="O29" s="3" t="s">
        <v>90</v>
      </c>
    </row>
    <row r="30" spans="1:15" ht="16.5">
      <c r="A30" s="3" t="s">
        <v>350</v>
      </c>
      <c r="B30" s="3" t="s">
        <v>86</v>
      </c>
      <c r="C30" s="3" t="s">
        <v>178</v>
      </c>
      <c r="D30" s="3" t="s">
        <v>179</v>
      </c>
      <c r="E30" s="3" t="s">
        <v>351</v>
      </c>
      <c r="F30" s="3" t="s">
        <v>352</v>
      </c>
      <c r="G30" s="3" t="s">
        <v>353</v>
      </c>
      <c r="H30" s="3" t="s">
        <v>230</v>
      </c>
      <c r="I30" s="3">
        <v>10</v>
      </c>
      <c r="J30" s="3" t="s">
        <v>231</v>
      </c>
      <c r="K30" s="3" t="s">
        <v>232</v>
      </c>
      <c r="L30" s="16">
        <v>49461</v>
      </c>
      <c r="M30" s="3" t="s">
        <v>133</v>
      </c>
      <c r="N30" s="3" t="s">
        <v>354</v>
      </c>
      <c r="O30" s="3"/>
    </row>
    <row r="31" spans="1: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</sheetData>
  <mergeCells count="2">
    <mergeCell ref="A1:O1"/>
    <mergeCell ref="A2:O2"/>
  </mergeCells>
  <dataValidations count="2">
    <dataValidation type="list" sqref="J5:J7 J10:J87" xr:uid="{00000000-0002-0000-0300-000000000000}">
      <formula1>"Yes,No"</formula1>
    </dataValidation>
    <dataValidation type="list" sqref="M5:M7 M10:M87" xr:uid="{00000000-0002-0000-0300-000001000000}">
      <formula1>"Public,Internal,Confidential,PII,NPI,PCI"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7"/>
  <sheetViews>
    <sheetView topLeftCell="A3" zoomScaleNormal="100" zoomScaleSheetLayoutView="100" workbookViewId="0">
      <selection activeCell="O7" sqref="O7"/>
    </sheetView>
  </sheetViews>
  <sheetFormatPr defaultRowHeight="15"/>
  <cols>
    <col min="1" max="1" width="16" customWidth="1"/>
    <col min="2" max="2" width="26" customWidth="1"/>
    <col min="3" max="3" width="24" customWidth="1"/>
    <col min="4" max="4" width="22" customWidth="1"/>
    <col min="5" max="5" width="26" customWidth="1"/>
    <col min="6" max="6" width="48" customWidth="1"/>
    <col min="7" max="7" width="14" customWidth="1"/>
    <col min="8" max="8" width="10" customWidth="1"/>
    <col min="9" max="9" width="12" customWidth="1"/>
    <col min="10" max="10" width="32" customWidth="1"/>
    <col min="11" max="11" width="18" customWidth="1"/>
    <col min="12" max="12" width="30" customWidth="1"/>
    <col min="13" max="13" width="18" customWidth="1"/>
    <col min="14" max="14" width="20" customWidth="1"/>
    <col min="15" max="15" width="36" customWidth="1"/>
  </cols>
  <sheetData>
    <row r="1" spans="1:15" ht="30" customHeight="1">
      <c r="A1" s="18" t="s">
        <v>11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ht="24" customHeight="1">
      <c r="A2" s="19" t="s">
        <v>355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4" spans="1:15" ht="33.950000000000003" customHeight="1">
      <c r="A4" s="2" t="s">
        <v>356</v>
      </c>
      <c r="B4" s="2" t="s">
        <v>357</v>
      </c>
      <c r="C4" s="2" t="s">
        <v>358</v>
      </c>
      <c r="D4" s="2" t="s">
        <v>359</v>
      </c>
      <c r="E4" s="2" t="s">
        <v>168</v>
      </c>
      <c r="F4" s="2" t="s">
        <v>360</v>
      </c>
      <c r="G4" s="2" t="s">
        <v>170</v>
      </c>
      <c r="H4" s="2" t="s">
        <v>171</v>
      </c>
      <c r="I4" s="2" t="s">
        <v>361</v>
      </c>
      <c r="J4" s="2" t="s">
        <v>362</v>
      </c>
      <c r="K4" s="2" t="s">
        <v>363</v>
      </c>
      <c r="L4" s="2" t="s">
        <v>364</v>
      </c>
      <c r="M4" s="2" t="s">
        <v>81</v>
      </c>
      <c r="N4" s="2" t="s">
        <v>176</v>
      </c>
      <c r="O4" s="2" t="s">
        <v>84</v>
      </c>
    </row>
    <row r="5" spans="1:15" ht="16.5">
      <c r="A5" s="3" t="s">
        <v>365</v>
      </c>
      <c r="B5" s="3" t="s">
        <v>366</v>
      </c>
      <c r="C5" s="3" t="s">
        <v>53</v>
      </c>
      <c r="D5" s="3" t="s">
        <v>367</v>
      </c>
      <c r="E5" s="3" t="s">
        <v>368</v>
      </c>
      <c r="F5" s="3" t="s">
        <v>369</v>
      </c>
      <c r="G5" s="3" t="s">
        <v>370</v>
      </c>
      <c r="H5" s="3" t="s">
        <v>371</v>
      </c>
      <c r="I5" s="3" t="s">
        <v>231</v>
      </c>
      <c r="J5" s="3"/>
      <c r="K5" s="3"/>
      <c r="L5" s="3" t="s">
        <v>372</v>
      </c>
      <c r="M5" s="3" t="s">
        <v>92</v>
      </c>
      <c r="N5" s="3" t="s">
        <v>90</v>
      </c>
      <c r="O5" s="3"/>
    </row>
    <row r="6" spans="1:15" ht="33.75">
      <c r="A6" s="3" t="s">
        <v>373</v>
      </c>
      <c r="B6" s="3" t="s">
        <v>366</v>
      </c>
      <c r="C6" s="3" t="s">
        <v>374</v>
      </c>
      <c r="D6" s="3" t="s">
        <v>375</v>
      </c>
      <c r="E6" s="3" t="s">
        <v>190</v>
      </c>
      <c r="F6" s="3" t="s">
        <v>376</v>
      </c>
      <c r="G6" s="3" t="s">
        <v>377</v>
      </c>
      <c r="H6" s="3" t="s">
        <v>193</v>
      </c>
      <c r="I6" s="3" t="s">
        <v>231</v>
      </c>
      <c r="J6" s="3"/>
      <c r="K6" s="3"/>
      <c r="L6" s="3" t="s">
        <v>378</v>
      </c>
      <c r="M6" s="3" t="s">
        <v>195</v>
      </c>
      <c r="N6" s="3" t="s">
        <v>131</v>
      </c>
      <c r="O6" s="3"/>
    </row>
    <row r="7" spans="1:15" ht="16.5">
      <c r="A7" s="3" t="s">
        <v>379</v>
      </c>
      <c r="B7" s="3" t="s">
        <v>366</v>
      </c>
      <c r="C7" s="3" t="s">
        <v>380</v>
      </c>
      <c r="D7" s="3" t="s">
        <v>381</v>
      </c>
      <c r="E7" s="3" t="s">
        <v>382</v>
      </c>
      <c r="F7" s="3" t="s">
        <v>383</v>
      </c>
      <c r="G7" s="3" t="s">
        <v>370</v>
      </c>
      <c r="H7" s="3" t="s">
        <v>384</v>
      </c>
      <c r="I7" s="3" t="s">
        <v>231</v>
      </c>
      <c r="J7" s="3" t="s">
        <v>385</v>
      </c>
      <c r="K7" s="3"/>
      <c r="L7" s="3" t="s">
        <v>386</v>
      </c>
      <c r="M7" s="3" t="s">
        <v>204</v>
      </c>
      <c r="N7" s="3" t="s">
        <v>101</v>
      </c>
      <c r="O7" s="3"/>
    </row>
    <row r="8" spans="1:15" hidden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3"/>
    </row>
    <row r="9" spans="1:15" ht="14.25">
      <c r="A9" t="s">
        <v>387</v>
      </c>
      <c r="B9" t="s">
        <v>366</v>
      </c>
      <c r="C9" t="s">
        <v>56</v>
      </c>
      <c r="D9" t="s">
        <v>388</v>
      </c>
      <c r="E9" t="s">
        <v>389</v>
      </c>
      <c r="F9" t="s">
        <v>390</v>
      </c>
      <c r="G9" t="s">
        <v>370</v>
      </c>
      <c r="H9">
        <v>15</v>
      </c>
      <c r="I9" t="s">
        <v>231</v>
      </c>
      <c r="J9" t="s">
        <v>391</v>
      </c>
      <c r="L9" t="s">
        <v>392</v>
      </c>
      <c r="M9" t="s">
        <v>92</v>
      </c>
      <c r="N9" t="s">
        <v>90</v>
      </c>
      <c r="O9" s="3"/>
    </row>
    <row r="10" spans="1:15" ht="14.25">
      <c r="A10" t="s">
        <v>393</v>
      </c>
      <c r="B10" t="s">
        <v>366</v>
      </c>
      <c r="C10" t="s">
        <v>56</v>
      </c>
      <c r="D10" t="s">
        <v>394</v>
      </c>
      <c r="E10" t="s">
        <v>216</v>
      </c>
      <c r="F10" t="s">
        <v>395</v>
      </c>
      <c r="G10" t="s">
        <v>370</v>
      </c>
      <c r="H10">
        <v>50</v>
      </c>
      <c r="I10" t="s">
        <v>231</v>
      </c>
      <c r="J10" t="s">
        <v>218</v>
      </c>
      <c r="L10" t="s">
        <v>396</v>
      </c>
      <c r="M10" t="s">
        <v>123</v>
      </c>
      <c r="N10" t="s">
        <v>90</v>
      </c>
      <c r="O10" s="3"/>
    </row>
    <row r="11" spans="1:15" ht="14.25">
      <c r="A11" t="s">
        <v>397</v>
      </c>
      <c r="B11" t="s">
        <v>366</v>
      </c>
      <c r="C11" t="s">
        <v>56</v>
      </c>
      <c r="D11" t="s">
        <v>398</v>
      </c>
      <c r="E11" t="s">
        <v>223</v>
      </c>
      <c r="F11" t="s">
        <v>399</v>
      </c>
      <c r="G11" t="s">
        <v>370</v>
      </c>
      <c r="H11">
        <v>50</v>
      </c>
      <c r="I11" t="s">
        <v>231</v>
      </c>
      <c r="J11" t="s">
        <v>218</v>
      </c>
      <c r="L11" t="s">
        <v>396</v>
      </c>
      <c r="M11" t="s">
        <v>123</v>
      </c>
      <c r="N11" t="s">
        <v>90</v>
      </c>
      <c r="O11" s="3"/>
    </row>
    <row r="12" spans="1:15" ht="14.25">
      <c r="A12" t="s">
        <v>400</v>
      </c>
      <c r="B12" t="s">
        <v>366</v>
      </c>
      <c r="C12" t="s">
        <v>56</v>
      </c>
      <c r="D12" t="s">
        <v>401</v>
      </c>
      <c r="E12" t="s">
        <v>228</v>
      </c>
      <c r="F12" t="s">
        <v>402</v>
      </c>
      <c r="G12" t="s">
        <v>403</v>
      </c>
      <c r="H12">
        <v>10</v>
      </c>
      <c r="I12" t="s">
        <v>184</v>
      </c>
      <c r="J12" t="s">
        <v>232</v>
      </c>
      <c r="L12" t="s">
        <v>404</v>
      </c>
      <c r="M12" t="s">
        <v>123</v>
      </c>
      <c r="N12" t="s">
        <v>90</v>
      </c>
      <c r="O12" s="3"/>
    </row>
    <row r="13" spans="1:15" ht="14.25">
      <c r="A13" t="s">
        <v>405</v>
      </c>
      <c r="B13" t="s">
        <v>366</v>
      </c>
      <c r="C13" t="s">
        <v>56</v>
      </c>
      <c r="D13" t="s">
        <v>406</v>
      </c>
      <c r="E13" t="s">
        <v>236</v>
      </c>
      <c r="F13" t="s">
        <v>407</v>
      </c>
      <c r="G13" t="s">
        <v>370</v>
      </c>
      <c r="H13">
        <v>100</v>
      </c>
      <c r="I13" t="s">
        <v>184</v>
      </c>
      <c r="J13" t="s">
        <v>408</v>
      </c>
      <c r="L13" t="s">
        <v>409</v>
      </c>
      <c r="M13" t="s">
        <v>123</v>
      </c>
      <c r="N13" t="s">
        <v>90</v>
      </c>
      <c r="O13" s="3"/>
    </row>
    <row r="14" spans="1:15" ht="14.25">
      <c r="A14" t="s">
        <v>410</v>
      </c>
      <c r="B14" t="s">
        <v>366</v>
      </c>
      <c r="C14" t="s">
        <v>56</v>
      </c>
      <c r="D14" t="s">
        <v>411</v>
      </c>
      <c r="E14" t="s">
        <v>243</v>
      </c>
      <c r="F14" t="s">
        <v>412</v>
      </c>
      <c r="G14" t="s">
        <v>370</v>
      </c>
      <c r="H14">
        <v>15</v>
      </c>
      <c r="I14" t="s">
        <v>184</v>
      </c>
      <c r="J14" t="s">
        <v>413</v>
      </c>
      <c r="L14" t="s">
        <v>414</v>
      </c>
      <c r="M14" t="s">
        <v>123</v>
      </c>
      <c r="N14" t="s">
        <v>90</v>
      </c>
      <c r="O14" s="3"/>
    </row>
    <row r="15" spans="1:15" ht="14.25">
      <c r="A15" t="s">
        <v>415</v>
      </c>
      <c r="B15" t="s">
        <v>366</v>
      </c>
      <c r="C15" t="s">
        <v>53</v>
      </c>
      <c r="D15" t="s">
        <v>416</v>
      </c>
      <c r="E15" t="s">
        <v>249</v>
      </c>
      <c r="F15" t="s">
        <v>417</v>
      </c>
      <c r="G15" t="s">
        <v>370</v>
      </c>
      <c r="H15">
        <v>20</v>
      </c>
      <c r="I15" t="s">
        <v>231</v>
      </c>
      <c r="J15" t="s">
        <v>251</v>
      </c>
      <c r="K15" t="s">
        <v>418</v>
      </c>
      <c r="L15" t="s">
        <v>386</v>
      </c>
      <c r="M15" t="s">
        <v>204</v>
      </c>
      <c r="N15" t="s">
        <v>90</v>
      </c>
      <c r="O15" s="3"/>
    </row>
    <row r="16" spans="1:15" ht="14.25">
      <c r="A16" t="s">
        <v>419</v>
      </c>
      <c r="B16" t="s">
        <v>366</v>
      </c>
      <c r="C16" t="s">
        <v>53</v>
      </c>
      <c r="D16" t="s">
        <v>420</v>
      </c>
      <c r="E16" t="s">
        <v>256</v>
      </c>
      <c r="F16" t="s">
        <v>421</v>
      </c>
      <c r="G16" t="s">
        <v>377</v>
      </c>
      <c r="H16" t="s">
        <v>258</v>
      </c>
      <c r="I16" t="s">
        <v>231</v>
      </c>
      <c r="J16" t="s">
        <v>194</v>
      </c>
      <c r="L16" t="s">
        <v>396</v>
      </c>
      <c r="M16" t="s">
        <v>133</v>
      </c>
      <c r="N16" t="s">
        <v>131</v>
      </c>
      <c r="O16" s="3"/>
    </row>
    <row r="17" spans="1:15" ht="14.25">
      <c r="A17" t="s">
        <v>422</v>
      </c>
      <c r="B17" t="s">
        <v>366</v>
      </c>
      <c r="C17" t="s">
        <v>65</v>
      </c>
      <c r="D17" t="s">
        <v>423</v>
      </c>
      <c r="E17" t="s">
        <v>263</v>
      </c>
      <c r="F17" t="s">
        <v>424</v>
      </c>
      <c r="G17" t="s">
        <v>377</v>
      </c>
      <c r="H17" t="s">
        <v>193</v>
      </c>
      <c r="I17" t="s">
        <v>184</v>
      </c>
      <c r="J17" t="s">
        <v>194</v>
      </c>
      <c r="K17">
        <v>0</v>
      </c>
      <c r="L17" t="s">
        <v>396</v>
      </c>
      <c r="M17" t="s">
        <v>133</v>
      </c>
      <c r="N17" t="s">
        <v>131</v>
      </c>
      <c r="O17" s="3"/>
    </row>
    <row r="18" spans="1:15" ht="14.25">
      <c r="A18" t="s">
        <v>425</v>
      </c>
      <c r="B18" t="s">
        <v>366</v>
      </c>
      <c r="C18" t="s">
        <v>59</v>
      </c>
      <c r="D18" t="s">
        <v>426</v>
      </c>
      <c r="E18" t="s">
        <v>269</v>
      </c>
      <c r="F18" t="s">
        <v>427</v>
      </c>
      <c r="G18" t="s">
        <v>370</v>
      </c>
      <c r="H18">
        <v>100</v>
      </c>
      <c r="I18" t="s">
        <v>231</v>
      </c>
      <c r="J18" t="s">
        <v>271</v>
      </c>
      <c r="L18" t="s">
        <v>396</v>
      </c>
      <c r="M18" t="s">
        <v>123</v>
      </c>
      <c r="N18" t="s">
        <v>121</v>
      </c>
      <c r="O18" s="3"/>
    </row>
    <row r="19" spans="1:15" ht="14.25">
      <c r="A19" t="s">
        <v>428</v>
      </c>
      <c r="B19" t="s">
        <v>366</v>
      </c>
      <c r="C19" t="s">
        <v>59</v>
      </c>
      <c r="D19" t="s">
        <v>429</v>
      </c>
      <c r="E19" t="s">
        <v>430</v>
      </c>
      <c r="F19" t="s">
        <v>431</v>
      </c>
      <c r="G19" t="s">
        <v>370</v>
      </c>
      <c r="H19">
        <v>50</v>
      </c>
      <c r="I19" t="s">
        <v>231</v>
      </c>
      <c r="J19" t="s">
        <v>432</v>
      </c>
      <c r="L19" t="s">
        <v>396</v>
      </c>
      <c r="M19" t="s">
        <v>204</v>
      </c>
      <c r="N19" t="s">
        <v>121</v>
      </c>
      <c r="O19" s="3"/>
    </row>
    <row r="20" spans="1:15" ht="14.25">
      <c r="A20" t="s">
        <v>433</v>
      </c>
      <c r="B20" t="s">
        <v>366</v>
      </c>
      <c r="C20" t="s">
        <v>59</v>
      </c>
      <c r="D20" t="s">
        <v>434</v>
      </c>
      <c r="E20" t="s">
        <v>435</v>
      </c>
      <c r="F20" t="s">
        <v>436</v>
      </c>
      <c r="G20" t="s">
        <v>370</v>
      </c>
      <c r="H20">
        <v>2</v>
      </c>
      <c r="I20" t="s">
        <v>231</v>
      </c>
      <c r="J20" t="s">
        <v>437</v>
      </c>
      <c r="L20" t="s">
        <v>404</v>
      </c>
      <c r="M20" t="s">
        <v>204</v>
      </c>
      <c r="N20" t="s">
        <v>121</v>
      </c>
      <c r="O20" s="3"/>
    </row>
    <row r="21" spans="1:15" ht="14.25">
      <c r="A21" t="s">
        <v>438</v>
      </c>
      <c r="B21" t="s">
        <v>366</v>
      </c>
      <c r="C21" t="s">
        <v>59</v>
      </c>
      <c r="D21" t="s">
        <v>439</v>
      </c>
      <c r="E21" t="s">
        <v>290</v>
      </c>
      <c r="F21" t="s">
        <v>440</v>
      </c>
      <c r="G21" t="s">
        <v>370</v>
      </c>
      <c r="H21">
        <v>10</v>
      </c>
      <c r="I21" t="s">
        <v>231</v>
      </c>
      <c r="J21" t="s">
        <v>441</v>
      </c>
      <c r="L21" t="s">
        <v>396</v>
      </c>
      <c r="M21" t="s">
        <v>204</v>
      </c>
      <c r="N21" t="s">
        <v>121</v>
      </c>
      <c r="O21" s="3"/>
    </row>
    <row r="22" spans="1:15" ht="14.25">
      <c r="A22" t="s">
        <v>442</v>
      </c>
      <c r="B22" t="s">
        <v>366</v>
      </c>
      <c r="C22" t="s">
        <v>62</v>
      </c>
      <c r="D22" t="s">
        <v>443</v>
      </c>
      <c r="E22" t="s">
        <v>297</v>
      </c>
      <c r="F22" t="s">
        <v>444</v>
      </c>
      <c r="G22" t="s">
        <v>403</v>
      </c>
      <c r="H22">
        <v>10</v>
      </c>
      <c r="I22" t="s">
        <v>231</v>
      </c>
      <c r="J22" t="s">
        <v>232</v>
      </c>
      <c r="L22" t="s">
        <v>396</v>
      </c>
      <c r="M22" t="s">
        <v>133</v>
      </c>
      <c r="N22" t="s">
        <v>101</v>
      </c>
      <c r="O22" s="3"/>
    </row>
    <row r="23" spans="1:15" ht="14.25">
      <c r="A23" t="s">
        <v>445</v>
      </c>
      <c r="B23" t="s">
        <v>366</v>
      </c>
      <c r="C23" t="s">
        <v>62</v>
      </c>
      <c r="D23" t="s">
        <v>446</v>
      </c>
      <c r="E23" t="s">
        <v>302</v>
      </c>
      <c r="F23" t="s">
        <v>447</v>
      </c>
      <c r="G23" t="s">
        <v>377</v>
      </c>
      <c r="H23" t="s">
        <v>193</v>
      </c>
      <c r="I23" t="s">
        <v>231</v>
      </c>
      <c r="J23" t="s">
        <v>194</v>
      </c>
      <c r="L23" t="s">
        <v>396</v>
      </c>
      <c r="M23" t="s">
        <v>133</v>
      </c>
      <c r="N23" t="s">
        <v>101</v>
      </c>
      <c r="O23" s="3"/>
    </row>
    <row r="24" spans="1:15" ht="14.25">
      <c r="A24" t="s">
        <v>448</v>
      </c>
      <c r="B24" t="s">
        <v>366</v>
      </c>
      <c r="C24" t="s">
        <v>62</v>
      </c>
      <c r="D24" t="s">
        <v>449</v>
      </c>
      <c r="E24" t="s">
        <v>307</v>
      </c>
      <c r="F24" t="s">
        <v>450</v>
      </c>
      <c r="G24" t="s">
        <v>370</v>
      </c>
      <c r="H24">
        <v>20</v>
      </c>
      <c r="I24" t="s">
        <v>184</v>
      </c>
      <c r="J24" t="s">
        <v>309</v>
      </c>
      <c r="K24" t="s">
        <v>310</v>
      </c>
      <c r="L24" t="s">
        <v>451</v>
      </c>
      <c r="M24" t="s">
        <v>204</v>
      </c>
      <c r="N24" t="s">
        <v>101</v>
      </c>
      <c r="O24" s="3"/>
    </row>
    <row r="25" spans="1:15" ht="14.25">
      <c r="A25" t="s">
        <v>452</v>
      </c>
      <c r="B25" t="s">
        <v>366</v>
      </c>
      <c r="C25" t="s">
        <v>62</v>
      </c>
      <c r="D25" t="s">
        <v>453</v>
      </c>
      <c r="E25" t="s">
        <v>454</v>
      </c>
      <c r="F25" t="s">
        <v>455</v>
      </c>
      <c r="G25" t="s">
        <v>370</v>
      </c>
      <c r="H25">
        <v>1</v>
      </c>
      <c r="I25" t="s">
        <v>231</v>
      </c>
      <c r="J25" t="s">
        <v>456</v>
      </c>
      <c r="K25" t="s">
        <v>317</v>
      </c>
      <c r="L25" t="s">
        <v>396</v>
      </c>
      <c r="M25" t="s">
        <v>204</v>
      </c>
      <c r="N25" t="s">
        <v>101</v>
      </c>
      <c r="O25" s="3"/>
    </row>
    <row r="26" spans="1:15" ht="14.25">
      <c r="A26" t="s">
        <v>457</v>
      </c>
      <c r="B26" t="s">
        <v>366</v>
      </c>
      <c r="C26" t="s">
        <v>458</v>
      </c>
      <c r="D26" t="s">
        <v>459</v>
      </c>
      <c r="E26" t="s">
        <v>323</v>
      </c>
      <c r="F26" t="s">
        <v>324</v>
      </c>
      <c r="G26" t="s">
        <v>370</v>
      </c>
      <c r="H26">
        <v>30</v>
      </c>
      <c r="I26" t="s">
        <v>231</v>
      </c>
      <c r="J26" t="s">
        <v>391</v>
      </c>
      <c r="L26" t="s">
        <v>392</v>
      </c>
      <c r="M26" t="s">
        <v>92</v>
      </c>
      <c r="N26" t="s">
        <v>111</v>
      </c>
      <c r="O26" s="3"/>
    </row>
    <row r="27" spans="1:15" ht="14.25">
      <c r="A27" t="s">
        <v>460</v>
      </c>
      <c r="B27" t="s">
        <v>366</v>
      </c>
      <c r="C27" t="s">
        <v>458</v>
      </c>
      <c r="D27" t="s">
        <v>461</v>
      </c>
      <c r="E27" t="s">
        <v>330</v>
      </c>
      <c r="F27" t="s">
        <v>462</v>
      </c>
      <c r="G27" t="s">
        <v>370</v>
      </c>
      <c r="H27">
        <v>30</v>
      </c>
      <c r="I27" t="s">
        <v>231</v>
      </c>
      <c r="J27" t="s">
        <v>332</v>
      </c>
      <c r="L27" t="s">
        <v>451</v>
      </c>
      <c r="M27" t="s">
        <v>204</v>
      </c>
      <c r="N27" t="s">
        <v>111</v>
      </c>
      <c r="O27" s="3"/>
    </row>
    <row r="28" spans="1:15" ht="14.25">
      <c r="A28" t="s">
        <v>463</v>
      </c>
      <c r="B28" t="s">
        <v>366</v>
      </c>
      <c r="C28" t="s">
        <v>458</v>
      </c>
      <c r="D28" t="s">
        <v>464</v>
      </c>
      <c r="E28" t="s">
        <v>337</v>
      </c>
      <c r="F28" t="s">
        <v>465</v>
      </c>
      <c r="G28" t="s">
        <v>403</v>
      </c>
      <c r="H28">
        <v>10</v>
      </c>
      <c r="I28" t="s">
        <v>184</v>
      </c>
      <c r="J28" t="s">
        <v>232</v>
      </c>
      <c r="L28" t="s">
        <v>396</v>
      </c>
      <c r="M28" t="s">
        <v>204</v>
      </c>
      <c r="N28" t="s">
        <v>111</v>
      </c>
      <c r="O28" s="3"/>
    </row>
    <row r="29" spans="1:15" ht="14.25">
      <c r="A29" t="s">
        <v>466</v>
      </c>
      <c r="B29" t="s">
        <v>366</v>
      </c>
      <c r="C29" t="s">
        <v>56</v>
      </c>
      <c r="D29" t="s">
        <v>467</v>
      </c>
      <c r="E29" t="s">
        <v>342</v>
      </c>
      <c r="F29" t="s">
        <v>468</v>
      </c>
      <c r="G29" t="s">
        <v>370</v>
      </c>
      <c r="H29">
        <v>100</v>
      </c>
      <c r="I29" t="s">
        <v>184</v>
      </c>
      <c r="J29" t="s">
        <v>271</v>
      </c>
      <c r="L29" t="s">
        <v>396</v>
      </c>
      <c r="M29" t="s">
        <v>123</v>
      </c>
      <c r="N29" t="s">
        <v>90</v>
      </c>
      <c r="O29" s="3"/>
    </row>
    <row r="30" spans="1:15" ht="14.25">
      <c r="A30" t="s">
        <v>469</v>
      </c>
      <c r="B30" t="s">
        <v>366</v>
      </c>
      <c r="C30" t="s">
        <v>56</v>
      </c>
      <c r="D30" t="s">
        <v>470</v>
      </c>
      <c r="E30" t="s">
        <v>471</v>
      </c>
      <c r="F30" t="s">
        <v>472</v>
      </c>
      <c r="G30" t="s">
        <v>370</v>
      </c>
      <c r="H30">
        <v>20</v>
      </c>
      <c r="I30" t="s">
        <v>231</v>
      </c>
      <c r="J30" t="s">
        <v>349</v>
      </c>
      <c r="K30" t="s">
        <v>56</v>
      </c>
      <c r="L30" t="s">
        <v>473</v>
      </c>
      <c r="M30" t="s">
        <v>204</v>
      </c>
      <c r="N30" t="s">
        <v>90</v>
      </c>
      <c r="O30" s="3"/>
    </row>
    <row r="31" spans="1:15" ht="14.25">
      <c r="A31" t="s">
        <v>474</v>
      </c>
      <c r="B31" t="s">
        <v>366</v>
      </c>
      <c r="C31" t="s">
        <v>53</v>
      </c>
      <c r="D31" t="s">
        <v>475</v>
      </c>
      <c r="E31" t="s">
        <v>352</v>
      </c>
      <c r="F31" t="s">
        <v>476</v>
      </c>
      <c r="G31" t="s">
        <v>403</v>
      </c>
      <c r="H31">
        <v>10</v>
      </c>
      <c r="I31" t="s">
        <v>184</v>
      </c>
      <c r="J31" t="s">
        <v>232</v>
      </c>
      <c r="L31" t="s">
        <v>396</v>
      </c>
      <c r="M31" t="s">
        <v>133</v>
      </c>
      <c r="N31" t="s">
        <v>90</v>
      </c>
      <c r="O31" s="3"/>
    </row>
    <row r="32" spans="1: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4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</sheetData>
  <mergeCells count="2">
    <mergeCell ref="A1:O1"/>
    <mergeCell ref="A2:O2"/>
  </mergeCells>
  <dataValidations count="2">
    <dataValidation type="list" sqref="I5:I7 I32:I87" xr:uid="{00000000-0002-0000-0400-000000000000}">
      <formula1>"Yes,No"</formula1>
    </dataValidation>
    <dataValidation type="list" sqref="M5:M7 M32:M87" xr:uid="{00000000-0002-0000-0400-000001000000}">
      <formula1>"Public,Internal,Confidential,PII,NPI,PCI"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0"/>
  <sheetViews>
    <sheetView zoomScaleNormal="100" zoomScaleSheetLayoutView="100" workbookViewId="0">
      <selection activeCell="I31" sqref="I31"/>
    </sheetView>
  </sheetViews>
  <sheetFormatPr defaultRowHeight="15"/>
  <cols>
    <col min="1" max="1" width="18" customWidth="1"/>
    <col min="2" max="2" width="26" customWidth="1"/>
    <col min="3" max="3" width="18" customWidth="1"/>
    <col min="4" max="4" width="52" customWidth="1"/>
    <col min="5" max="6" width="28" customWidth="1"/>
    <col min="7" max="7" width="20" customWidth="1"/>
    <col min="8" max="8" width="18" customWidth="1"/>
    <col min="9" max="9" width="16" customWidth="1"/>
    <col min="10" max="10" width="40" customWidth="1"/>
  </cols>
  <sheetData>
    <row r="1" spans="1:10" ht="30" customHeight="1">
      <c r="A1" s="18" t="s">
        <v>14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" customHeight="1">
      <c r="A2" s="19" t="s">
        <v>477</v>
      </c>
      <c r="B2" s="19"/>
      <c r="C2" s="19"/>
      <c r="D2" s="19"/>
      <c r="E2" s="19"/>
      <c r="F2" s="19"/>
      <c r="G2" s="19"/>
      <c r="H2" s="19"/>
      <c r="I2" s="19"/>
      <c r="J2" s="19"/>
    </row>
    <row r="4" spans="1:10" ht="33.950000000000003" customHeight="1">
      <c r="A4" s="2" t="s">
        <v>478</v>
      </c>
      <c r="B4" s="2" t="s">
        <v>479</v>
      </c>
      <c r="C4" s="2" t="s">
        <v>480</v>
      </c>
      <c r="D4" s="2" t="s">
        <v>169</v>
      </c>
      <c r="E4" s="2" t="s">
        <v>481</v>
      </c>
      <c r="F4" s="2" t="s">
        <v>482</v>
      </c>
      <c r="G4" s="2" t="s">
        <v>483</v>
      </c>
      <c r="H4" s="2" t="s">
        <v>484</v>
      </c>
      <c r="I4" s="2" t="s">
        <v>485</v>
      </c>
      <c r="J4" s="2" t="s">
        <v>84</v>
      </c>
    </row>
    <row r="5" spans="1:10" ht="15" customHeight="1">
      <c r="A5" s="3" t="s">
        <v>486</v>
      </c>
      <c r="B5" s="3" t="s">
        <v>190</v>
      </c>
      <c r="C5" s="3" t="s">
        <v>53</v>
      </c>
      <c r="D5" s="3" t="s">
        <v>487</v>
      </c>
      <c r="E5" s="3" t="s">
        <v>488</v>
      </c>
      <c r="F5" s="3" t="s">
        <v>489</v>
      </c>
      <c r="G5" s="3" t="s">
        <v>90</v>
      </c>
      <c r="H5" s="3" t="s">
        <v>48</v>
      </c>
      <c r="I5" s="8">
        <v>46204</v>
      </c>
      <c r="J5" s="3" t="s">
        <v>490</v>
      </c>
    </row>
    <row r="6" spans="1:10" ht="15" customHeight="1">
      <c r="A6" s="3" t="s">
        <v>491</v>
      </c>
      <c r="B6" s="3" t="s">
        <v>492</v>
      </c>
      <c r="C6" s="3" t="s">
        <v>62</v>
      </c>
      <c r="D6" s="3" t="s">
        <v>493</v>
      </c>
      <c r="E6" s="3" t="s">
        <v>494</v>
      </c>
      <c r="F6" s="3" t="s">
        <v>495</v>
      </c>
      <c r="G6" s="3" t="s">
        <v>101</v>
      </c>
      <c r="H6" s="3" t="s">
        <v>48</v>
      </c>
      <c r="I6" s="8">
        <v>46204</v>
      </c>
      <c r="J6" s="3" t="s">
        <v>496</v>
      </c>
    </row>
    <row r="7" spans="1:10" ht="15" customHeight="1">
      <c r="A7" s="3" t="s">
        <v>497</v>
      </c>
      <c r="B7" s="3" t="s">
        <v>498</v>
      </c>
      <c r="C7" s="3" t="s">
        <v>70</v>
      </c>
      <c r="D7" s="3" t="s">
        <v>499</v>
      </c>
      <c r="E7" s="3" t="s">
        <v>500</v>
      </c>
      <c r="F7" s="3" t="s">
        <v>501</v>
      </c>
      <c r="G7" s="3" t="s">
        <v>502</v>
      </c>
      <c r="H7" s="3" t="s">
        <v>503</v>
      </c>
      <c r="I7" s="8">
        <v>46204</v>
      </c>
      <c r="J7" s="3" t="s">
        <v>504</v>
      </c>
    </row>
    <row r="8" spans="1:10" ht="0.75" customHeight="1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ht="14.25">
      <c r="A9" t="s">
        <v>505</v>
      </c>
      <c r="B9" t="s">
        <v>263</v>
      </c>
      <c r="C9" t="s">
        <v>65</v>
      </c>
      <c r="D9" t="s">
        <v>506</v>
      </c>
      <c r="E9" t="s">
        <v>507</v>
      </c>
      <c r="F9" t="s">
        <v>508</v>
      </c>
      <c r="G9" t="s">
        <v>131</v>
      </c>
      <c r="H9" t="s">
        <v>48</v>
      </c>
      <c r="I9" s="17">
        <v>46204</v>
      </c>
      <c r="J9" t="s">
        <v>509</v>
      </c>
    </row>
    <row r="10" spans="1:10" ht="14.25">
      <c r="A10" t="s">
        <v>510</v>
      </c>
      <c r="B10" t="s">
        <v>181</v>
      </c>
      <c r="C10" t="s">
        <v>53</v>
      </c>
      <c r="D10" t="s">
        <v>511</v>
      </c>
      <c r="E10" t="s">
        <v>512</v>
      </c>
      <c r="F10" t="s">
        <v>513</v>
      </c>
      <c r="G10" t="s">
        <v>90</v>
      </c>
      <c r="H10" t="s">
        <v>48</v>
      </c>
      <c r="I10" s="17">
        <v>46204</v>
      </c>
      <c r="J10" t="s">
        <v>514</v>
      </c>
    </row>
    <row r="11" spans="1:10" ht="14.25">
      <c r="A11" t="s">
        <v>515</v>
      </c>
      <c r="B11" t="s">
        <v>56</v>
      </c>
      <c r="C11" t="s">
        <v>516</v>
      </c>
      <c r="D11" t="s">
        <v>517</v>
      </c>
      <c r="E11" t="s">
        <v>518</v>
      </c>
      <c r="F11" t="s">
        <v>519</v>
      </c>
      <c r="G11" t="s">
        <v>90</v>
      </c>
      <c r="H11" t="s">
        <v>48</v>
      </c>
      <c r="I11" s="17">
        <v>46204</v>
      </c>
      <c r="J11" t="s">
        <v>520</v>
      </c>
    </row>
    <row r="12" spans="1:10" ht="14.25">
      <c r="A12" t="s">
        <v>521</v>
      </c>
      <c r="B12" t="s">
        <v>522</v>
      </c>
      <c r="C12" t="s">
        <v>516</v>
      </c>
      <c r="D12" t="s">
        <v>523</v>
      </c>
      <c r="E12" t="s">
        <v>524</v>
      </c>
      <c r="F12" t="s">
        <v>519</v>
      </c>
      <c r="G12" t="s">
        <v>90</v>
      </c>
      <c r="H12" t="s">
        <v>48</v>
      </c>
      <c r="I12" s="17">
        <v>46204</v>
      </c>
      <c r="J12" t="s">
        <v>525</v>
      </c>
    </row>
    <row r="13" spans="1:10" ht="14.25">
      <c r="A13" t="s">
        <v>526</v>
      </c>
      <c r="B13" t="s">
        <v>256</v>
      </c>
      <c r="C13" t="s">
        <v>53</v>
      </c>
      <c r="D13" t="s">
        <v>527</v>
      </c>
      <c r="E13" t="s">
        <v>528</v>
      </c>
      <c r="F13" t="s">
        <v>529</v>
      </c>
      <c r="G13" t="s">
        <v>131</v>
      </c>
      <c r="H13" t="s">
        <v>48</v>
      </c>
      <c r="I13" s="17">
        <v>46204</v>
      </c>
      <c r="J13" t="s">
        <v>530</v>
      </c>
    </row>
    <row r="14" spans="1:10" ht="14.25">
      <c r="A14" t="s">
        <v>531</v>
      </c>
      <c r="B14" t="s">
        <v>297</v>
      </c>
      <c r="C14" t="s">
        <v>62</v>
      </c>
      <c r="D14" t="s">
        <v>532</v>
      </c>
      <c r="E14" t="s">
        <v>533</v>
      </c>
      <c r="F14" t="s">
        <v>534</v>
      </c>
      <c r="G14" t="s">
        <v>101</v>
      </c>
      <c r="H14" t="s">
        <v>48</v>
      </c>
      <c r="I14" s="17">
        <v>46204</v>
      </c>
      <c r="J14" t="s">
        <v>535</v>
      </c>
    </row>
    <row r="15" spans="1:10" ht="14.25">
      <c r="A15" t="s">
        <v>536</v>
      </c>
      <c r="B15" t="s">
        <v>302</v>
      </c>
      <c r="C15" t="s">
        <v>62</v>
      </c>
      <c r="D15" t="s">
        <v>537</v>
      </c>
      <c r="E15" t="s">
        <v>62</v>
      </c>
      <c r="F15" t="s">
        <v>534</v>
      </c>
      <c r="G15" t="s">
        <v>101</v>
      </c>
      <c r="H15" t="s">
        <v>48</v>
      </c>
      <c r="I15" s="17">
        <v>46204</v>
      </c>
      <c r="J15" t="s">
        <v>538</v>
      </c>
    </row>
    <row r="16" spans="1:10" ht="14.25">
      <c r="A16" t="s">
        <v>539</v>
      </c>
      <c r="B16" t="s">
        <v>540</v>
      </c>
      <c r="C16" t="s">
        <v>70</v>
      </c>
      <c r="D16" t="s">
        <v>541</v>
      </c>
      <c r="E16" t="s">
        <v>542</v>
      </c>
      <c r="F16" t="s">
        <v>543</v>
      </c>
      <c r="G16" t="s">
        <v>502</v>
      </c>
      <c r="H16" t="s">
        <v>544</v>
      </c>
      <c r="I16" s="17">
        <v>46204</v>
      </c>
      <c r="J16" t="s">
        <v>545</v>
      </c>
    </row>
    <row r="17" spans="1:10" ht="14.25">
      <c r="A17" t="s">
        <v>546</v>
      </c>
      <c r="B17" t="s">
        <v>352</v>
      </c>
      <c r="C17" t="s">
        <v>53</v>
      </c>
      <c r="D17" t="s">
        <v>547</v>
      </c>
      <c r="E17" t="s">
        <v>548</v>
      </c>
      <c r="F17" t="s">
        <v>549</v>
      </c>
      <c r="G17" t="s">
        <v>90</v>
      </c>
      <c r="H17" t="s">
        <v>48</v>
      </c>
      <c r="I17" s="17">
        <v>46204</v>
      </c>
      <c r="J17" t="s">
        <v>550</v>
      </c>
    </row>
    <row r="18" spans="1:10" ht="14.25">
      <c r="A18" t="s">
        <v>551</v>
      </c>
      <c r="B18" t="s">
        <v>269</v>
      </c>
      <c r="C18" t="s">
        <v>59</v>
      </c>
      <c r="D18" t="s">
        <v>552</v>
      </c>
      <c r="E18" t="s">
        <v>553</v>
      </c>
      <c r="F18" t="s">
        <v>554</v>
      </c>
      <c r="G18" t="s">
        <v>121</v>
      </c>
      <c r="H18" t="s">
        <v>48</v>
      </c>
      <c r="I18" s="17">
        <v>46204</v>
      </c>
      <c r="J18" t="s">
        <v>273</v>
      </c>
    </row>
    <row r="19" spans="1:10" ht="14.25">
      <c r="A19" t="s">
        <v>555</v>
      </c>
      <c r="B19" t="s">
        <v>290</v>
      </c>
      <c r="C19" t="s">
        <v>59</v>
      </c>
      <c r="D19" t="s">
        <v>556</v>
      </c>
      <c r="E19" t="s">
        <v>557</v>
      </c>
      <c r="F19" t="s">
        <v>558</v>
      </c>
      <c r="G19" t="s">
        <v>121</v>
      </c>
      <c r="H19" t="s">
        <v>48</v>
      </c>
      <c r="I19" s="17">
        <v>46204</v>
      </c>
      <c r="J19" t="s">
        <v>559</v>
      </c>
    </row>
    <row r="20" spans="1:10" ht="14.25">
      <c r="A20" t="s">
        <v>560</v>
      </c>
      <c r="B20" t="s">
        <v>68</v>
      </c>
      <c r="C20" t="s">
        <v>68</v>
      </c>
      <c r="D20" t="s">
        <v>561</v>
      </c>
      <c r="E20" t="s">
        <v>562</v>
      </c>
      <c r="F20" t="s">
        <v>137</v>
      </c>
      <c r="G20" t="s">
        <v>139</v>
      </c>
      <c r="H20" t="s">
        <v>48</v>
      </c>
      <c r="I20" s="17">
        <v>46204</v>
      </c>
      <c r="J20" t="s">
        <v>563</v>
      </c>
    </row>
    <row r="21" spans="1:10" ht="14.25">
      <c r="A21" t="s">
        <v>564</v>
      </c>
      <c r="B21" t="s">
        <v>565</v>
      </c>
      <c r="C21" t="s">
        <v>62</v>
      </c>
      <c r="D21" t="s">
        <v>566</v>
      </c>
      <c r="E21" t="s">
        <v>567</v>
      </c>
      <c r="F21" t="s">
        <v>534</v>
      </c>
      <c r="G21" t="s">
        <v>101</v>
      </c>
      <c r="H21" t="s">
        <v>544</v>
      </c>
      <c r="I21" s="17">
        <v>46204</v>
      </c>
      <c r="J21" t="s">
        <v>568</v>
      </c>
    </row>
    <row r="22" spans="1:10" ht="14.25">
      <c r="A22" t="s">
        <v>569</v>
      </c>
      <c r="B22" t="s">
        <v>570</v>
      </c>
      <c r="C22" t="s">
        <v>53</v>
      </c>
      <c r="D22" t="s">
        <v>571</v>
      </c>
      <c r="E22" t="s">
        <v>572</v>
      </c>
      <c r="F22" t="s">
        <v>137</v>
      </c>
      <c r="G22" t="s">
        <v>90</v>
      </c>
      <c r="H22" t="s">
        <v>48</v>
      </c>
      <c r="I22" s="17">
        <v>46204</v>
      </c>
      <c r="J22" t="s">
        <v>573</v>
      </c>
    </row>
    <row r="23" spans="1:10" ht="14.25">
      <c r="A23" t="s">
        <v>574</v>
      </c>
      <c r="B23" t="s">
        <v>209</v>
      </c>
      <c r="C23" t="s">
        <v>516</v>
      </c>
      <c r="D23" t="s">
        <v>575</v>
      </c>
      <c r="E23" t="s">
        <v>389</v>
      </c>
      <c r="F23" t="s">
        <v>576</v>
      </c>
      <c r="G23" t="s">
        <v>111</v>
      </c>
      <c r="H23" t="s">
        <v>48</v>
      </c>
      <c r="I23" s="17">
        <v>46204</v>
      </c>
      <c r="J23" t="s">
        <v>577</v>
      </c>
    </row>
    <row r="24" spans="1:10" ht="14.25">
      <c r="A24" t="s">
        <v>578</v>
      </c>
      <c r="B24" t="s">
        <v>249</v>
      </c>
      <c r="C24" t="s">
        <v>53</v>
      </c>
      <c r="D24" t="s">
        <v>579</v>
      </c>
      <c r="E24" t="s">
        <v>580</v>
      </c>
      <c r="F24" t="s">
        <v>581</v>
      </c>
      <c r="G24" t="s">
        <v>90</v>
      </c>
      <c r="H24" t="s">
        <v>48</v>
      </c>
      <c r="I24" s="17">
        <v>46204</v>
      </c>
      <c r="J24" t="s">
        <v>251</v>
      </c>
    </row>
    <row r="25" spans="1:10" ht="14.25">
      <c r="A25" t="s">
        <v>582</v>
      </c>
      <c r="B25" t="s">
        <v>583</v>
      </c>
      <c r="C25" t="s">
        <v>62</v>
      </c>
      <c r="D25" t="s">
        <v>584</v>
      </c>
      <c r="E25" t="s">
        <v>585</v>
      </c>
      <c r="F25" t="s">
        <v>534</v>
      </c>
      <c r="G25" t="s">
        <v>101</v>
      </c>
      <c r="H25" t="s">
        <v>48</v>
      </c>
      <c r="I25" s="17">
        <v>46204</v>
      </c>
      <c r="J25" t="s">
        <v>586</v>
      </c>
    </row>
    <row r="26" spans="1:10">
      <c r="A26" s="3"/>
      <c r="B26" s="3"/>
      <c r="C26" s="3"/>
      <c r="D26" s="3"/>
      <c r="E26" s="3"/>
      <c r="F26" s="3"/>
      <c r="G26" s="3"/>
      <c r="H26" s="3"/>
      <c r="I26" s="8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8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8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8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8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8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8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8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8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8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8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8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8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8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8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8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8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8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8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8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8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8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8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8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8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8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8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8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8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8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8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8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8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8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8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8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8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8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8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8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8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8"/>
      <c r="J67" s="3"/>
    </row>
    <row r="68" spans="1:10">
      <c r="I68" s="9"/>
    </row>
    <row r="69" spans="1:10">
      <c r="I69" s="9"/>
    </row>
    <row r="70" spans="1:10">
      <c r="I70" s="9"/>
    </row>
    <row r="71" spans="1:10">
      <c r="I71" s="9"/>
    </row>
    <row r="72" spans="1:10">
      <c r="I72" s="9"/>
    </row>
    <row r="73" spans="1:10">
      <c r="I73" s="9"/>
    </row>
    <row r="74" spans="1:10">
      <c r="I74" s="9"/>
    </row>
    <row r="75" spans="1:10">
      <c r="I75" s="9"/>
    </row>
    <row r="76" spans="1:10">
      <c r="I76" s="9"/>
    </row>
    <row r="77" spans="1:10">
      <c r="I77" s="9"/>
    </row>
    <row r="78" spans="1:10">
      <c r="I78" s="9"/>
    </row>
    <row r="79" spans="1:10">
      <c r="I79" s="9"/>
    </row>
    <row r="80" spans="1:10">
      <c r="I80" s="9"/>
    </row>
    <row r="81" spans="9:9">
      <c r="I81" s="9"/>
    </row>
    <row r="82" spans="9:9">
      <c r="I82" s="9"/>
    </row>
    <row r="83" spans="9:9">
      <c r="I83" s="9"/>
    </row>
    <row r="84" spans="9:9">
      <c r="I84" s="9"/>
    </row>
    <row r="85" spans="9:9">
      <c r="I85" s="9"/>
    </row>
    <row r="86" spans="9:9">
      <c r="I86" s="9"/>
    </row>
    <row r="87" spans="9:9">
      <c r="I87" s="9"/>
    </row>
    <row r="88" spans="9:9">
      <c r="I88" s="9"/>
    </row>
    <row r="89" spans="9:9">
      <c r="I89" s="9"/>
    </row>
    <row r="90" spans="9:9">
      <c r="I90" s="9"/>
    </row>
    <row r="91" spans="9:9">
      <c r="I91" s="9"/>
    </row>
    <row r="92" spans="9:9">
      <c r="I92" s="9"/>
    </row>
    <row r="93" spans="9:9">
      <c r="I93" s="9"/>
    </row>
    <row r="94" spans="9:9">
      <c r="I94" s="9"/>
    </row>
    <row r="95" spans="9:9">
      <c r="I95" s="9"/>
    </row>
    <row r="96" spans="9:9">
      <c r="I96" s="9"/>
    </row>
    <row r="97" spans="9:9">
      <c r="I97" s="9"/>
    </row>
    <row r="98" spans="9:9">
      <c r="I98" s="9"/>
    </row>
    <row r="99" spans="9:9">
      <c r="I99" s="9"/>
    </row>
    <row r="100" spans="9:9">
      <c r="I100" s="9"/>
    </row>
    <row r="101" spans="9:9">
      <c r="I101" s="9"/>
    </row>
    <row r="102" spans="9:9">
      <c r="I102" s="9"/>
    </row>
    <row r="103" spans="9:9">
      <c r="I103" s="9"/>
    </row>
    <row r="104" spans="9:9">
      <c r="I104" s="9"/>
    </row>
    <row r="105" spans="9:9">
      <c r="I105" s="9"/>
    </row>
    <row r="106" spans="9:9">
      <c r="I106" s="9"/>
    </row>
    <row r="107" spans="9:9">
      <c r="I107" s="9"/>
    </row>
    <row r="108" spans="9:9">
      <c r="I108" s="9"/>
    </row>
    <row r="109" spans="9:9">
      <c r="I109" s="9"/>
    </row>
    <row r="110" spans="9:9">
      <c r="I110" s="9"/>
    </row>
    <row r="111" spans="9:9">
      <c r="I111" s="9"/>
    </row>
    <row r="112" spans="9:9">
      <c r="I112" s="9"/>
    </row>
    <row r="113" spans="9:9">
      <c r="I113" s="9"/>
    </row>
    <row r="114" spans="9:9">
      <c r="I114" s="9"/>
    </row>
    <row r="115" spans="9:9">
      <c r="I115" s="9"/>
    </row>
    <row r="116" spans="9:9">
      <c r="I116" s="9"/>
    </row>
    <row r="117" spans="9:9">
      <c r="I117" s="9"/>
    </row>
    <row r="118" spans="9:9">
      <c r="I118" s="9"/>
    </row>
    <row r="119" spans="9:9">
      <c r="I119" s="9"/>
    </row>
    <row r="120" spans="9:9">
      <c r="I120" s="9"/>
    </row>
    <row r="121" spans="9:9">
      <c r="I121" s="9"/>
    </row>
    <row r="122" spans="9:9">
      <c r="I122" s="9"/>
    </row>
    <row r="123" spans="9:9">
      <c r="I123" s="9"/>
    </row>
    <row r="124" spans="9:9">
      <c r="I124" s="9"/>
    </row>
    <row r="125" spans="9:9">
      <c r="I125" s="9"/>
    </row>
    <row r="126" spans="9:9">
      <c r="I126" s="9"/>
    </row>
    <row r="127" spans="9:9">
      <c r="I127" s="9"/>
    </row>
    <row r="128" spans="9:9">
      <c r="I128" s="9"/>
    </row>
    <row r="129" spans="9:9">
      <c r="I129" s="9"/>
    </row>
    <row r="130" spans="9:9">
      <c r="I130" s="9"/>
    </row>
    <row r="131" spans="9:9">
      <c r="I131" s="9"/>
    </row>
    <row r="132" spans="9:9">
      <c r="I132" s="9"/>
    </row>
    <row r="133" spans="9:9">
      <c r="I133" s="9"/>
    </row>
    <row r="134" spans="9:9">
      <c r="I134" s="9"/>
    </row>
    <row r="135" spans="9:9">
      <c r="I135" s="9"/>
    </row>
    <row r="136" spans="9:9">
      <c r="I136" s="9"/>
    </row>
    <row r="137" spans="9:9">
      <c r="I137" s="9"/>
    </row>
    <row r="138" spans="9:9">
      <c r="I138" s="9"/>
    </row>
    <row r="139" spans="9:9">
      <c r="I139" s="9"/>
    </row>
    <row r="140" spans="9:9">
      <c r="I140" s="9"/>
    </row>
    <row r="141" spans="9:9">
      <c r="I141" s="9"/>
    </row>
    <row r="142" spans="9:9">
      <c r="I142" s="9"/>
    </row>
    <row r="143" spans="9:9">
      <c r="I143" s="9"/>
    </row>
    <row r="144" spans="9:9">
      <c r="I144" s="9"/>
    </row>
    <row r="145" spans="9:9">
      <c r="I145" s="9"/>
    </row>
    <row r="146" spans="9:9">
      <c r="I146" s="9"/>
    </row>
    <row r="147" spans="9:9">
      <c r="I147" s="9"/>
    </row>
    <row r="148" spans="9:9">
      <c r="I148" s="9"/>
    </row>
    <row r="149" spans="9:9">
      <c r="I149" s="9"/>
    </row>
    <row r="150" spans="9:9">
      <c r="I150" s="9"/>
    </row>
  </sheetData>
  <mergeCells count="2">
    <mergeCell ref="A1:J1"/>
    <mergeCell ref="A2:J2"/>
  </mergeCells>
  <dataValidations count="2">
    <dataValidation type="list" sqref="C5:C7 C26:C67" xr:uid="{00000000-0002-0000-0500-000000000000}">
      <formula1>"Loan,Borrower,Property,Payment,Escrow,Investor,Default,Compliance,Communication"</formula1>
    </dataValidation>
    <dataValidation type="list" sqref="H5:H7 H26:H67" xr:uid="{00000000-0002-0000-0500-000001000000}">
      <formula1>"Draft,In Review,Approved,Rejected,Deferred"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7"/>
  <sheetViews>
    <sheetView topLeftCell="F1" zoomScaleNormal="100" zoomScaleSheetLayoutView="100" workbookViewId="0">
      <selection activeCell="M23" sqref="M23"/>
    </sheetView>
  </sheetViews>
  <sheetFormatPr defaultRowHeight="15"/>
  <cols>
    <col min="1" max="1" width="14" customWidth="1"/>
    <col min="2" max="2" width="28" customWidth="1"/>
    <col min="3" max="3" width="18" customWidth="1"/>
    <col min="4" max="5" width="16" customWidth="1"/>
    <col min="6" max="6" width="46" customWidth="1"/>
    <col min="7" max="7" width="16" customWidth="1"/>
    <col min="8" max="8" width="18" customWidth="1"/>
    <col min="9" max="9" width="34" customWidth="1"/>
    <col min="10" max="10" width="14" customWidth="1"/>
    <col min="11" max="11" width="20" customWidth="1"/>
    <col min="12" max="12" width="16" customWidth="1"/>
    <col min="13" max="13" width="20" customWidth="1"/>
    <col min="14" max="14" width="36" customWidth="1"/>
  </cols>
  <sheetData>
    <row r="1" spans="1:14" ht="30" customHeight="1">
      <c r="A1" s="18" t="s">
        <v>17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4" customHeight="1">
      <c r="A2" s="19" t="s">
        <v>587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ht="33.950000000000003" customHeight="1">
      <c r="A4" s="2" t="s">
        <v>588</v>
      </c>
      <c r="B4" s="2" t="s">
        <v>479</v>
      </c>
      <c r="C4" s="2" t="s">
        <v>480</v>
      </c>
      <c r="D4" s="2" t="s">
        <v>163</v>
      </c>
      <c r="E4" s="2" t="s">
        <v>356</v>
      </c>
      <c r="F4" s="2" t="s">
        <v>589</v>
      </c>
      <c r="G4" s="2" t="s">
        <v>590</v>
      </c>
      <c r="H4" s="2" t="s">
        <v>81</v>
      </c>
      <c r="I4" s="2" t="s">
        <v>591</v>
      </c>
      <c r="J4" s="2" t="s">
        <v>592</v>
      </c>
      <c r="K4" s="2" t="s">
        <v>593</v>
      </c>
      <c r="L4" s="2" t="s">
        <v>594</v>
      </c>
      <c r="M4" s="2" t="s">
        <v>483</v>
      </c>
      <c r="N4" s="2" t="s">
        <v>84</v>
      </c>
    </row>
    <row r="5" spans="1:14" ht="33.75">
      <c r="A5" s="3" t="s">
        <v>595</v>
      </c>
      <c r="B5" s="3" t="s">
        <v>368</v>
      </c>
      <c r="C5" s="3" t="s">
        <v>53</v>
      </c>
      <c r="D5" s="3" t="s">
        <v>177</v>
      </c>
      <c r="E5" s="3" t="s">
        <v>365</v>
      </c>
      <c r="F5" s="3" t="s">
        <v>596</v>
      </c>
      <c r="G5" s="3" t="s">
        <v>597</v>
      </c>
      <c r="H5" s="3" t="s">
        <v>92</v>
      </c>
      <c r="I5" s="3" t="s">
        <v>598</v>
      </c>
      <c r="J5" s="3" t="s">
        <v>599</v>
      </c>
      <c r="K5" s="3" t="s">
        <v>600</v>
      </c>
      <c r="L5" s="3" t="s">
        <v>48</v>
      </c>
      <c r="M5" s="3" t="s">
        <v>90</v>
      </c>
      <c r="N5" s="3"/>
    </row>
    <row r="6" spans="1:14" ht="16.5">
      <c r="A6" s="3" t="s">
        <v>601</v>
      </c>
      <c r="B6" s="3" t="s">
        <v>190</v>
      </c>
      <c r="C6" s="3" t="s">
        <v>53</v>
      </c>
      <c r="D6" s="3" t="s">
        <v>187</v>
      </c>
      <c r="E6" s="3" t="s">
        <v>373</v>
      </c>
      <c r="F6" s="3" t="s">
        <v>602</v>
      </c>
      <c r="G6" s="3" t="s">
        <v>597</v>
      </c>
      <c r="H6" s="3" t="s">
        <v>195</v>
      </c>
      <c r="I6" s="3" t="s">
        <v>603</v>
      </c>
      <c r="J6" s="3" t="s">
        <v>604</v>
      </c>
      <c r="K6" s="3" t="s">
        <v>605</v>
      </c>
      <c r="L6" s="3" t="s">
        <v>48</v>
      </c>
      <c r="M6" s="3" t="s">
        <v>131</v>
      </c>
      <c r="N6" s="3"/>
    </row>
    <row r="7" spans="1:14" ht="33.75">
      <c r="A7" s="3" t="s">
        <v>606</v>
      </c>
      <c r="B7" s="3" t="s">
        <v>382</v>
      </c>
      <c r="C7" s="3" t="s">
        <v>62</v>
      </c>
      <c r="D7" s="3" t="s">
        <v>197</v>
      </c>
      <c r="E7" s="3" t="s">
        <v>379</v>
      </c>
      <c r="F7" s="3" t="s">
        <v>607</v>
      </c>
      <c r="G7" s="3" t="s">
        <v>597</v>
      </c>
      <c r="H7" s="3" t="s">
        <v>204</v>
      </c>
      <c r="I7" s="3" t="s">
        <v>608</v>
      </c>
      <c r="J7" s="3" t="s">
        <v>609</v>
      </c>
      <c r="K7" s="3" t="s">
        <v>610</v>
      </c>
      <c r="L7" s="3" t="s">
        <v>503</v>
      </c>
      <c r="M7" s="3" t="s">
        <v>101</v>
      </c>
      <c r="N7" s="3"/>
    </row>
    <row r="8" spans="1:14" ht="0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ht="14.25">
      <c r="A9" t="s">
        <v>611</v>
      </c>
      <c r="B9" t="s">
        <v>209</v>
      </c>
      <c r="C9" t="s">
        <v>516</v>
      </c>
      <c r="D9" t="s">
        <v>206</v>
      </c>
      <c r="E9" t="s">
        <v>387</v>
      </c>
      <c r="F9" t="s">
        <v>612</v>
      </c>
      <c r="G9" t="s">
        <v>597</v>
      </c>
      <c r="H9" t="s">
        <v>92</v>
      </c>
      <c r="I9" t="s">
        <v>613</v>
      </c>
      <c r="J9" t="s">
        <v>614</v>
      </c>
      <c r="K9" t="s">
        <v>615</v>
      </c>
      <c r="L9" t="s">
        <v>48</v>
      </c>
      <c r="M9" t="s">
        <v>90</v>
      </c>
      <c r="N9" t="s">
        <v>616</v>
      </c>
    </row>
    <row r="10" spans="1:14" ht="14.25">
      <c r="A10" t="s">
        <v>617</v>
      </c>
      <c r="B10" t="s">
        <v>249</v>
      </c>
      <c r="C10" t="s">
        <v>53</v>
      </c>
      <c r="D10" t="s">
        <v>247</v>
      </c>
      <c r="E10" t="s">
        <v>415</v>
      </c>
      <c r="F10" t="s">
        <v>618</v>
      </c>
      <c r="G10" t="s">
        <v>597</v>
      </c>
      <c r="H10" t="s">
        <v>204</v>
      </c>
      <c r="I10" t="s">
        <v>613</v>
      </c>
      <c r="J10" t="s">
        <v>619</v>
      </c>
      <c r="K10" t="s">
        <v>620</v>
      </c>
      <c r="L10" t="s">
        <v>503</v>
      </c>
      <c r="M10" t="s">
        <v>90</v>
      </c>
      <c r="N10" t="s">
        <v>621</v>
      </c>
    </row>
    <row r="11" spans="1:14" ht="14.25">
      <c r="A11" t="s">
        <v>622</v>
      </c>
      <c r="B11" t="s">
        <v>256</v>
      </c>
      <c r="C11" t="s">
        <v>53</v>
      </c>
      <c r="D11" t="s">
        <v>254</v>
      </c>
      <c r="E11" t="s">
        <v>419</v>
      </c>
      <c r="F11" t="s">
        <v>623</v>
      </c>
      <c r="G11" t="s">
        <v>597</v>
      </c>
      <c r="H11" t="s">
        <v>133</v>
      </c>
      <c r="I11" t="s">
        <v>133</v>
      </c>
      <c r="J11" t="s">
        <v>624</v>
      </c>
      <c r="K11" t="s">
        <v>625</v>
      </c>
      <c r="L11" t="s">
        <v>48</v>
      </c>
      <c r="M11" t="s">
        <v>131</v>
      </c>
      <c r="N11" t="s">
        <v>626</v>
      </c>
    </row>
    <row r="12" spans="1:14" ht="14.25">
      <c r="A12" t="s">
        <v>627</v>
      </c>
      <c r="B12" t="s">
        <v>263</v>
      </c>
      <c r="C12" t="s">
        <v>65</v>
      </c>
      <c r="D12" t="s">
        <v>260</v>
      </c>
      <c r="E12" t="s">
        <v>422</v>
      </c>
      <c r="F12" t="s">
        <v>628</v>
      </c>
      <c r="G12" t="s">
        <v>597</v>
      </c>
      <c r="H12" t="s">
        <v>133</v>
      </c>
      <c r="I12" t="s">
        <v>133</v>
      </c>
      <c r="J12" t="s">
        <v>629</v>
      </c>
      <c r="K12" t="s">
        <v>630</v>
      </c>
      <c r="L12" t="s">
        <v>48</v>
      </c>
      <c r="M12" t="s">
        <v>131</v>
      </c>
      <c r="N12" t="s">
        <v>631</v>
      </c>
    </row>
    <row r="13" spans="1:14" ht="14.25">
      <c r="A13" t="s">
        <v>632</v>
      </c>
      <c r="B13" t="s">
        <v>269</v>
      </c>
      <c r="C13" t="s">
        <v>59</v>
      </c>
      <c r="D13" t="s">
        <v>266</v>
      </c>
      <c r="E13" t="s">
        <v>425</v>
      </c>
      <c r="F13" t="s">
        <v>633</v>
      </c>
      <c r="G13" t="s">
        <v>634</v>
      </c>
      <c r="H13" t="s">
        <v>123</v>
      </c>
      <c r="I13" t="s">
        <v>613</v>
      </c>
      <c r="J13" t="s">
        <v>635</v>
      </c>
      <c r="K13" t="s">
        <v>636</v>
      </c>
      <c r="L13" t="s">
        <v>48</v>
      </c>
      <c r="M13" t="s">
        <v>121</v>
      </c>
      <c r="N13" t="s">
        <v>637</v>
      </c>
    </row>
    <row r="14" spans="1:14" ht="14.25">
      <c r="A14" t="s">
        <v>638</v>
      </c>
      <c r="B14" t="s">
        <v>297</v>
      </c>
      <c r="C14" t="s">
        <v>62</v>
      </c>
      <c r="D14" t="s">
        <v>294</v>
      </c>
      <c r="E14" t="s">
        <v>438</v>
      </c>
      <c r="F14" t="s">
        <v>639</v>
      </c>
      <c r="G14" t="s">
        <v>597</v>
      </c>
      <c r="H14" t="s">
        <v>133</v>
      </c>
      <c r="I14" t="s">
        <v>133</v>
      </c>
      <c r="J14" t="s">
        <v>640</v>
      </c>
      <c r="K14" t="s">
        <v>641</v>
      </c>
      <c r="L14" t="s">
        <v>48</v>
      </c>
      <c r="M14" t="s">
        <v>101</v>
      </c>
      <c r="N14" t="s">
        <v>642</v>
      </c>
    </row>
    <row r="15" spans="1:14" ht="14.25">
      <c r="A15" t="s">
        <v>643</v>
      </c>
      <c r="B15" t="s">
        <v>302</v>
      </c>
      <c r="C15" t="s">
        <v>62</v>
      </c>
      <c r="D15" t="s">
        <v>300</v>
      </c>
      <c r="E15" t="s">
        <v>442</v>
      </c>
      <c r="F15" t="s">
        <v>644</v>
      </c>
      <c r="G15" t="s">
        <v>597</v>
      </c>
      <c r="H15" t="s">
        <v>133</v>
      </c>
      <c r="I15" t="s">
        <v>133</v>
      </c>
      <c r="J15" t="s">
        <v>645</v>
      </c>
      <c r="K15" t="s">
        <v>646</v>
      </c>
      <c r="L15" t="s">
        <v>48</v>
      </c>
      <c r="M15" t="s">
        <v>101</v>
      </c>
      <c r="N15" t="s">
        <v>647</v>
      </c>
    </row>
    <row r="16" spans="1:14" ht="14.25">
      <c r="A16" t="s">
        <v>648</v>
      </c>
      <c r="B16" t="s">
        <v>323</v>
      </c>
      <c r="C16" t="s">
        <v>458</v>
      </c>
      <c r="D16" t="s">
        <v>319</v>
      </c>
      <c r="E16" t="s">
        <v>452</v>
      </c>
      <c r="F16" t="s">
        <v>649</v>
      </c>
      <c r="G16" t="s">
        <v>634</v>
      </c>
      <c r="H16" t="s">
        <v>92</v>
      </c>
      <c r="I16" t="s">
        <v>71</v>
      </c>
      <c r="J16" t="s">
        <v>650</v>
      </c>
      <c r="K16" t="s">
        <v>651</v>
      </c>
      <c r="L16" t="s">
        <v>544</v>
      </c>
      <c r="M16" t="s">
        <v>111</v>
      </c>
      <c r="N16" t="s">
        <v>652</v>
      </c>
    </row>
    <row r="17" spans="1:14" ht="14.25">
      <c r="A17" t="s">
        <v>653</v>
      </c>
      <c r="B17" t="s">
        <v>352</v>
      </c>
      <c r="C17" t="s">
        <v>53</v>
      </c>
      <c r="D17" t="s">
        <v>350</v>
      </c>
      <c r="E17" t="s">
        <v>469</v>
      </c>
      <c r="F17" t="s">
        <v>654</v>
      </c>
      <c r="G17" t="s">
        <v>634</v>
      </c>
      <c r="H17" t="s">
        <v>133</v>
      </c>
      <c r="I17" t="s">
        <v>133</v>
      </c>
      <c r="J17" t="s">
        <v>655</v>
      </c>
      <c r="K17" t="s">
        <v>656</v>
      </c>
      <c r="L17" t="s">
        <v>503</v>
      </c>
      <c r="M17" t="s">
        <v>90</v>
      </c>
      <c r="N17" t="s">
        <v>657</v>
      </c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</sheetData>
  <mergeCells count="2">
    <mergeCell ref="A1:N1"/>
    <mergeCell ref="A2:N2"/>
  </mergeCells>
  <dataValidations count="4">
    <dataValidation type="list" sqref="C5:C7 C18:C87" xr:uid="{00000000-0002-0000-0600-000000000000}">
      <formula1>"Loan,Borrower,Property,Payment,Escrow,Investor,Default,Compliance,Communication"</formula1>
    </dataValidation>
    <dataValidation type="list" sqref="G5:G7 G18:G87" xr:uid="{00000000-0002-0000-0600-000001000000}">
      <formula1>"Tier 1,Tier 2,Tier 3,Tier 4"</formula1>
    </dataValidation>
    <dataValidation type="list" sqref="H5:H7 H18:H87" xr:uid="{00000000-0002-0000-0600-000002000000}">
      <formula1>"Public,Internal,Confidential,PII,NPI,PCI"</formula1>
    </dataValidation>
    <dataValidation type="list" sqref="L5:L7 L18:L87" xr:uid="{00000000-0002-0000-0600-000003000000}">
      <formula1>"Draft,In Review,SME Approved,Tech Approved,Approved,Implemented,Tested,Deferred,Retired"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7"/>
  <sheetViews>
    <sheetView topLeftCell="D1" zoomScaleNormal="100" zoomScaleSheetLayoutView="100" workbookViewId="0">
      <selection activeCell="K7" sqref="K7"/>
    </sheetView>
  </sheetViews>
  <sheetFormatPr defaultRowHeight="15"/>
  <cols>
    <col min="1" max="1" width="18" customWidth="1"/>
    <col min="2" max="3" width="24" customWidth="1"/>
    <col min="4" max="4" width="18" customWidth="1"/>
    <col min="5" max="5" width="42" customWidth="1"/>
    <col min="6" max="6" width="25" customWidth="1"/>
    <col min="7" max="7" width="24" customWidth="1"/>
    <col min="8" max="8" width="22" customWidth="1"/>
    <col min="9" max="9" width="42" customWidth="1"/>
    <col min="10" max="11" width="18" customWidth="1"/>
    <col min="12" max="12" width="14" customWidth="1"/>
    <col min="13" max="13" width="20" customWidth="1"/>
    <col min="14" max="14" width="18" customWidth="1"/>
    <col min="15" max="15" width="16" customWidth="1"/>
    <col min="16" max="19" width="18" customWidth="1"/>
    <col min="20" max="20" width="14" customWidth="1"/>
    <col min="21" max="21" width="42" customWidth="1"/>
  </cols>
  <sheetData>
    <row r="1" spans="1:21" ht="30" customHeight="1">
      <c r="A1" s="18" t="s">
        <v>20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</row>
    <row r="2" spans="1:21" ht="24" customHeight="1">
      <c r="A2" s="19" t="s">
        <v>658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4" spans="1:21" ht="33.950000000000003" customHeight="1">
      <c r="A4" s="2" t="s">
        <v>659</v>
      </c>
      <c r="B4" s="2" t="s">
        <v>164</v>
      </c>
      <c r="C4" s="2" t="s">
        <v>660</v>
      </c>
      <c r="D4" s="2" t="s">
        <v>661</v>
      </c>
      <c r="E4" s="2" t="s">
        <v>662</v>
      </c>
      <c r="F4" s="2" t="s">
        <v>357</v>
      </c>
      <c r="G4" s="2" t="s">
        <v>358</v>
      </c>
      <c r="H4" s="2" t="s">
        <v>359</v>
      </c>
      <c r="I4" s="2" t="s">
        <v>360</v>
      </c>
      <c r="J4" s="2" t="s">
        <v>663</v>
      </c>
      <c r="K4" s="2" t="s">
        <v>664</v>
      </c>
      <c r="L4" s="2" t="s">
        <v>592</v>
      </c>
      <c r="M4" s="2" t="s">
        <v>593</v>
      </c>
      <c r="N4" s="2" t="s">
        <v>46</v>
      </c>
      <c r="O4" s="2" t="s">
        <v>590</v>
      </c>
      <c r="P4" s="2" t="s">
        <v>81</v>
      </c>
      <c r="Q4" s="2" t="s">
        <v>665</v>
      </c>
      <c r="R4" s="2" t="s">
        <v>666</v>
      </c>
      <c r="S4" s="2" t="s">
        <v>667</v>
      </c>
      <c r="T4" s="2" t="s">
        <v>668</v>
      </c>
      <c r="U4" s="2" t="s">
        <v>84</v>
      </c>
    </row>
    <row r="5" spans="1:21" ht="16.5">
      <c r="A5" s="3" t="s">
        <v>669</v>
      </c>
      <c r="B5" s="3" t="s">
        <v>86</v>
      </c>
      <c r="C5" s="3" t="s">
        <v>179</v>
      </c>
      <c r="D5" s="3" t="s">
        <v>180</v>
      </c>
      <c r="E5" s="3" t="s">
        <v>670</v>
      </c>
      <c r="F5" s="3" t="s">
        <v>366</v>
      </c>
      <c r="G5" s="3" t="s">
        <v>53</v>
      </c>
      <c r="H5" s="3" t="s">
        <v>367</v>
      </c>
      <c r="I5" s="3" t="s">
        <v>671</v>
      </c>
      <c r="J5" s="3" t="s">
        <v>672</v>
      </c>
      <c r="K5" s="3"/>
      <c r="L5" s="3" t="s">
        <v>599</v>
      </c>
      <c r="M5" s="3" t="s">
        <v>600</v>
      </c>
      <c r="N5" s="3" t="s">
        <v>53</v>
      </c>
      <c r="O5" s="3" t="s">
        <v>597</v>
      </c>
      <c r="P5" s="3" t="s">
        <v>92</v>
      </c>
      <c r="Q5" s="3" t="s">
        <v>48</v>
      </c>
      <c r="R5" s="3" t="s">
        <v>90</v>
      </c>
      <c r="S5" s="3" t="s">
        <v>673</v>
      </c>
      <c r="T5" s="3"/>
      <c r="U5" s="3"/>
    </row>
    <row r="6" spans="1:21" ht="16.5">
      <c r="A6" s="3" t="s">
        <v>674</v>
      </c>
      <c r="B6" s="3" t="s">
        <v>86</v>
      </c>
      <c r="C6" s="3" t="s">
        <v>188</v>
      </c>
      <c r="D6" s="3" t="s">
        <v>189</v>
      </c>
      <c r="E6" s="3" t="s">
        <v>675</v>
      </c>
      <c r="F6" s="3" t="s">
        <v>366</v>
      </c>
      <c r="G6" s="3" t="s">
        <v>374</v>
      </c>
      <c r="H6" s="3" t="s">
        <v>375</v>
      </c>
      <c r="I6" s="3" t="s">
        <v>676</v>
      </c>
      <c r="J6" s="3" t="s">
        <v>672</v>
      </c>
      <c r="K6" s="3"/>
      <c r="L6" s="3" t="s">
        <v>604</v>
      </c>
      <c r="M6" s="3" t="s">
        <v>605</v>
      </c>
      <c r="N6" s="3" t="s">
        <v>53</v>
      </c>
      <c r="O6" s="3" t="s">
        <v>597</v>
      </c>
      <c r="P6" s="3" t="s">
        <v>195</v>
      </c>
      <c r="Q6" s="3" t="s">
        <v>48</v>
      </c>
      <c r="R6" s="3" t="s">
        <v>131</v>
      </c>
      <c r="S6" s="3" t="s">
        <v>673</v>
      </c>
      <c r="T6" s="3"/>
      <c r="U6" s="3"/>
    </row>
    <row r="7" spans="1:21" ht="16.5">
      <c r="A7" s="3" t="s">
        <v>677</v>
      </c>
      <c r="B7" s="3" t="s">
        <v>86</v>
      </c>
      <c r="C7" s="3" t="s">
        <v>198</v>
      </c>
      <c r="D7" s="3" t="s">
        <v>199</v>
      </c>
      <c r="E7" s="3" t="s">
        <v>678</v>
      </c>
      <c r="F7" s="3" t="s">
        <v>366</v>
      </c>
      <c r="G7" s="3" t="s">
        <v>380</v>
      </c>
      <c r="H7" s="3" t="s">
        <v>381</v>
      </c>
      <c r="I7" s="3" t="s">
        <v>679</v>
      </c>
      <c r="J7" s="3" t="s">
        <v>680</v>
      </c>
      <c r="K7" s="3" t="s">
        <v>681</v>
      </c>
      <c r="L7" s="3" t="s">
        <v>609</v>
      </c>
      <c r="M7" s="3" t="s">
        <v>610</v>
      </c>
      <c r="N7" s="3" t="s">
        <v>62</v>
      </c>
      <c r="O7" s="3" t="s">
        <v>597</v>
      </c>
      <c r="P7" s="3" t="s">
        <v>204</v>
      </c>
      <c r="Q7" s="3" t="s">
        <v>503</v>
      </c>
      <c r="R7" s="3" t="s">
        <v>101</v>
      </c>
      <c r="S7" s="3" t="s">
        <v>682</v>
      </c>
      <c r="T7" s="3" t="s">
        <v>683</v>
      </c>
      <c r="U7" s="3" t="s">
        <v>684</v>
      </c>
    </row>
    <row r="8" spans="1:21" hidden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14.25">
      <c r="A9" t="s">
        <v>685</v>
      </c>
      <c r="B9" t="s">
        <v>206</v>
      </c>
      <c r="C9" t="s">
        <v>207</v>
      </c>
      <c r="D9" t="s">
        <v>208</v>
      </c>
      <c r="E9" t="s">
        <v>686</v>
      </c>
      <c r="F9" t="s">
        <v>366</v>
      </c>
      <c r="G9" t="s">
        <v>56</v>
      </c>
      <c r="H9" t="s">
        <v>388</v>
      </c>
      <c r="I9" t="s">
        <v>390</v>
      </c>
      <c r="J9" t="s">
        <v>672</v>
      </c>
      <c r="K9" t="s">
        <v>687</v>
      </c>
      <c r="L9" t="s">
        <v>688</v>
      </c>
      <c r="M9" t="s">
        <v>689</v>
      </c>
      <c r="N9" t="s">
        <v>516</v>
      </c>
      <c r="O9" t="s">
        <v>597</v>
      </c>
      <c r="P9" t="s">
        <v>92</v>
      </c>
      <c r="Q9" t="s">
        <v>48</v>
      </c>
      <c r="R9" t="s">
        <v>90</v>
      </c>
      <c r="S9" t="s">
        <v>673</v>
      </c>
    </row>
    <row r="10" spans="1:21" ht="14.25">
      <c r="A10" t="s">
        <v>690</v>
      </c>
      <c r="B10" t="s">
        <v>214</v>
      </c>
      <c r="C10" t="s">
        <v>207</v>
      </c>
      <c r="D10" t="s">
        <v>215</v>
      </c>
      <c r="E10" t="s">
        <v>395</v>
      </c>
      <c r="F10" t="s">
        <v>366</v>
      </c>
      <c r="G10" t="s">
        <v>56</v>
      </c>
      <c r="H10" t="s">
        <v>394</v>
      </c>
      <c r="I10" t="s">
        <v>691</v>
      </c>
      <c r="J10" t="s">
        <v>672</v>
      </c>
      <c r="K10" t="s">
        <v>692</v>
      </c>
      <c r="L10" t="s">
        <v>693</v>
      </c>
      <c r="M10" t="s">
        <v>694</v>
      </c>
      <c r="N10" t="s">
        <v>516</v>
      </c>
      <c r="O10" t="s">
        <v>634</v>
      </c>
      <c r="P10" t="s">
        <v>123</v>
      </c>
      <c r="Q10" t="s">
        <v>48</v>
      </c>
      <c r="R10" t="s">
        <v>90</v>
      </c>
      <c r="S10" t="s">
        <v>673</v>
      </c>
    </row>
    <row r="11" spans="1:21" ht="14.25">
      <c r="A11" t="s">
        <v>695</v>
      </c>
      <c r="B11" t="s">
        <v>221</v>
      </c>
      <c r="C11" t="s">
        <v>207</v>
      </c>
      <c r="D11" t="s">
        <v>222</v>
      </c>
      <c r="E11" t="s">
        <v>399</v>
      </c>
      <c r="F11" t="s">
        <v>366</v>
      </c>
      <c r="G11" t="s">
        <v>56</v>
      </c>
      <c r="H11" t="s">
        <v>398</v>
      </c>
      <c r="I11" t="s">
        <v>696</v>
      </c>
      <c r="J11" t="s">
        <v>672</v>
      </c>
      <c r="K11" t="s">
        <v>697</v>
      </c>
      <c r="L11" t="s">
        <v>698</v>
      </c>
      <c r="M11" t="s">
        <v>699</v>
      </c>
      <c r="N11" t="s">
        <v>516</v>
      </c>
      <c r="O11" t="s">
        <v>634</v>
      </c>
      <c r="P11" t="s">
        <v>123</v>
      </c>
      <c r="Q11" t="s">
        <v>48</v>
      </c>
      <c r="R11" t="s">
        <v>90</v>
      </c>
      <c r="S11" t="s">
        <v>673</v>
      </c>
    </row>
    <row r="12" spans="1:21">
      <c r="A12" t="s">
        <v>700</v>
      </c>
      <c r="B12" t="s">
        <v>226</v>
      </c>
      <c r="C12" t="s">
        <v>207</v>
      </c>
      <c r="D12" t="s">
        <v>227</v>
      </c>
      <c r="E12" t="s">
        <v>701</v>
      </c>
      <c r="F12" t="s">
        <v>366</v>
      </c>
      <c r="G12" t="s">
        <v>56</v>
      </c>
      <c r="H12" t="s">
        <v>401</v>
      </c>
      <c r="I12" t="s">
        <v>701</v>
      </c>
      <c r="J12" t="s">
        <v>702</v>
      </c>
      <c r="K12" s="10"/>
      <c r="L12" t="s">
        <v>703</v>
      </c>
      <c r="M12" t="s">
        <v>704</v>
      </c>
      <c r="N12" t="s">
        <v>516</v>
      </c>
      <c r="O12" t="s">
        <v>634</v>
      </c>
      <c r="P12" t="s">
        <v>123</v>
      </c>
      <c r="Q12" t="s">
        <v>51</v>
      </c>
      <c r="R12" t="s">
        <v>90</v>
      </c>
      <c r="S12" t="s">
        <v>673</v>
      </c>
      <c r="T12" t="s">
        <v>705</v>
      </c>
      <c r="U12" t="s">
        <v>706</v>
      </c>
    </row>
    <row r="13" spans="1:21">
      <c r="A13" t="s">
        <v>707</v>
      </c>
      <c r="B13" t="s">
        <v>234</v>
      </c>
      <c r="C13" t="s">
        <v>207</v>
      </c>
      <c r="D13" t="s">
        <v>235</v>
      </c>
      <c r="E13" t="s">
        <v>708</v>
      </c>
      <c r="F13" t="s">
        <v>366</v>
      </c>
      <c r="G13" t="s">
        <v>56</v>
      </c>
      <c r="H13" s="10"/>
      <c r="I13" t="s">
        <v>708</v>
      </c>
      <c r="J13" t="s">
        <v>672</v>
      </c>
      <c r="K13" t="s">
        <v>709</v>
      </c>
      <c r="L13" t="s">
        <v>710</v>
      </c>
      <c r="M13" t="s">
        <v>711</v>
      </c>
      <c r="N13" t="s">
        <v>516</v>
      </c>
      <c r="O13" t="s">
        <v>634</v>
      </c>
      <c r="P13" t="s">
        <v>123</v>
      </c>
      <c r="Q13" t="s">
        <v>51</v>
      </c>
      <c r="R13" t="s">
        <v>90</v>
      </c>
      <c r="S13" t="s">
        <v>673</v>
      </c>
      <c r="T13" t="s">
        <v>712</v>
      </c>
      <c r="U13" t="s">
        <v>713</v>
      </c>
    </row>
    <row r="14" spans="1:21" ht="14.25">
      <c r="A14" t="s">
        <v>714</v>
      </c>
      <c r="B14" t="s">
        <v>241</v>
      </c>
      <c r="C14" t="s">
        <v>207</v>
      </c>
      <c r="D14" t="s">
        <v>242</v>
      </c>
      <c r="E14" t="s">
        <v>715</v>
      </c>
      <c r="F14" t="s">
        <v>366</v>
      </c>
      <c r="G14" t="s">
        <v>56</v>
      </c>
      <c r="H14" t="s">
        <v>411</v>
      </c>
      <c r="I14" t="s">
        <v>715</v>
      </c>
      <c r="J14" t="s">
        <v>702</v>
      </c>
      <c r="K14" t="s">
        <v>716</v>
      </c>
      <c r="L14" t="s">
        <v>717</v>
      </c>
      <c r="M14" t="s">
        <v>718</v>
      </c>
      <c r="N14" t="s">
        <v>516</v>
      </c>
      <c r="O14" t="s">
        <v>634</v>
      </c>
      <c r="P14" t="s">
        <v>123</v>
      </c>
      <c r="Q14" t="s">
        <v>503</v>
      </c>
      <c r="R14" t="s">
        <v>90</v>
      </c>
      <c r="S14" t="s">
        <v>673</v>
      </c>
    </row>
    <row r="15" spans="1:21" ht="14.25">
      <c r="A15" t="s">
        <v>719</v>
      </c>
      <c r="B15" t="s">
        <v>247</v>
      </c>
      <c r="C15" t="s">
        <v>179</v>
      </c>
      <c r="D15" t="s">
        <v>248</v>
      </c>
      <c r="E15" t="s">
        <v>720</v>
      </c>
      <c r="F15" t="s">
        <v>366</v>
      </c>
      <c r="G15" t="s">
        <v>53</v>
      </c>
      <c r="H15" t="s">
        <v>416</v>
      </c>
      <c r="I15" t="s">
        <v>721</v>
      </c>
      <c r="J15" t="s">
        <v>680</v>
      </c>
      <c r="K15" t="s">
        <v>722</v>
      </c>
      <c r="L15" t="s">
        <v>723</v>
      </c>
      <c r="M15" t="s">
        <v>724</v>
      </c>
      <c r="N15" t="s">
        <v>53</v>
      </c>
      <c r="O15" t="s">
        <v>597</v>
      </c>
      <c r="P15" t="s">
        <v>204</v>
      </c>
      <c r="Q15" t="s">
        <v>48</v>
      </c>
      <c r="R15" t="s">
        <v>90</v>
      </c>
      <c r="S15" t="s">
        <v>682</v>
      </c>
    </row>
    <row r="16" spans="1:21" ht="14.25">
      <c r="A16" t="s">
        <v>725</v>
      </c>
      <c r="B16" t="s">
        <v>254</v>
      </c>
      <c r="C16" t="s">
        <v>179</v>
      </c>
      <c r="D16" t="s">
        <v>255</v>
      </c>
      <c r="E16" t="s">
        <v>726</v>
      </c>
      <c r="F16" t="s">
        <v>366</v>
      </c>
      <c r="G16" t="s">
        <v>53</v>
      </c>
      <c r="H16" t="s">
        <v>420</v>
      </c>
      <c r="I16" t="s">
        <v>726</v>
      </c>
      <c r="J16" t="s">
        <v>672</v>
      </c>
      <c r="K16" t="s">
        <v>727</v>
      </c>
      <c r="L16" t="s">
        <v>728</v>
      </c>
      <c r="M16" t="s">
        <v>729</v>
      </c>
      <c r="N16" t="s">
        <v>53</v>
      </c>
      <c r="O16" t="s">
        <v>597</v>
      </c>
      <c r="P16" t="s">
        <v>133</v>
      </c>
      <c r="Q16" t="s">
        <v>48</v>
      </c>
      <c r="R16" t="s">
        <v>131</v>
      </c>
      <c r="S16" t="s">
        <v>682</v>
      </c>
    </row>
    <row r="17" spans="1:21" ht="14.25">
      <c r="A17" t="s">
        <v>730</v>
      </c>
      <c r="B17" t="s">
        <v>260</v>
      </c>
      <c r="C17" t="s">
        <v>261</v>
      </c>
      <c r="D17" t="s">
        <v>262</v>
      </c>
      <c r="E17" t="s">
        <v>731</v>
      </c>
      <c r="F17" t="s">
        <v>366</v>
      </c>
      <c r="G17" t="s">
        <v>65</v>
      </c>
      <c r="H17" t="s">
        <v>423</v>
      </c>
      <c r="I17" t="s">
        <v>731</v>
      </c>
      <c r="J17" t="s">
        <v>672</v>
      </c>
      <c r="K17" t="s">
        <v>732</v>
      </c>
      <c r="L17" t="s">
        <v>733</v>
      </c>
      <c r="M17" t="s">
        <v>734</v>
      </c>
      <c r="N17" t="s">
        <v>65</v>
      </c>
      <c r="O17" t="s">
        <v>597</v>
      </c>
      <c r="P17" t="s">
        <v>133</v>
      </c>
      <c r="Q17" t="s">
        <v>48</v>
      </c>
      <c r="R17" t="s">
        <v>131</v>
      </c>
      <c r="S17" t="s">
        <v>682</v>
      </c>
    </row>
    <row r="18" spans="1:21" ht="14.25">
      <c r="A18" t="s">
        <v>735</v>
      </c>
      <c r="B18" t="s">
        <v>266</v>
      </c>
      <c r="C18" t="s">
        <v>267</v>
      </c>
      <c r="D18" t="s">
        <v>268</v>
      </c>
      <c r="E18" t="s">
        <v>736</v>
      </c>
      <c r="F18" t="s">
        <v>366</v>
      </c>
      <c r="G18" t="s">
        <v>59</v>
      </c>
      <c r="H18" t="s">
        <v>426</v>
      </c>
      <c r="I18" t="s">
        <v>736</v>
      </c>
      <c r="J18" t="s">
        <v>672</v>
      </c>
      <c r="K18" t="s">
        <v>737</v>
      </c>
      <c r="L18" t="s">
        <v>738</v>
      </c>
      <c r="M18" t="s">
        <v>739</v>
      </c>
      <c r="N18" t="s">
        <v>59</v>
      </c>
      <c r="O18" t="s">
        <v>634</v>
      </c>
      <c r="P18" t="s">
        <v>123</v>
      </c>
      <c r="Q18" t="s">
        <v>48</v>
      </c>
      <c r="R18" t="s">
        <v>121</v>
      </c>
      <c r="S18" t="s">
        <v>682</v>
      </c>
    </row>
    <row r="19" spans="1:21">
      <c r="A19" t="s">
        <v>740</v>
      </c>
      <c r="B19" t="s">
        <v>266</v>
      </c>
      <c r="C19" t="s">
        <v>267</v>
      </c>
      <c r="D19" t="s">
        <v>268</v>
      </c>
      <c r="E19" t="s">
        <v>736</v>
      </c>
      <c r="F19" t="s">
        <v>366</v>
      </c>
      <c r="G19" t="s">
        <v>59</v>
      </c>
      <c r="H19" t="s">
        <v>426</v>
      </c>
      <c r="I19" t="s">
        <v>736</v>
      </c>
      <c r="J19" t="s">
        <v>672</v>
      </c>
      <c r="K19" t="s">
        <v>737</v>
      </c>
      <c r="L19" t="s">
        <v>738</v>
      </c>
      <c r="M19" t="s">
        <v>739</v>
      </c>
      <c r="N19" t="s">
        <v>59</v>
      </c>
      <c r="O19" t="s">
        <v>634</v>
      </c>
      <c r="P19" t="s">
        <v>123</v>
      </c>
      <c r="Q19" t="s">
        <v>48</v>
      </c>
      <c r="R19" t="s">
        <v>121</v>
      </c>
      <c r="S19" t="s">
        <v>682</v>
      </c>
      <c r="U19" s="10" t="s">
        <v>741</v>
      </c>
    </row>
    <row r="20" spans="1:21" ht="14.25">
      <c r="A20" t="s">
        <v>742</v>
      </c>
      <c r="B20" t="s">
        <v>294</v>
      </c>
      <c r="C20" t="s">
        <v>198</v>
      </c>
      <c r="D20" t="s">
        <v>296</v>
      </c>
      <c r="E20" t="s">
        <v>743</v>
      </c>
      <c r="F20" t="s">
        <v>366</v>
      </c>
      <c r="G20" t="s">
        <v>62</v>
      </c>
      <c r="H20" t="s">
        <v>443</v>
      </c>
      <c r="I20" t="s">
        <v>743</v>
      </c>
      <c r="J20" t="s">
        <v>672</v>
      </c>
      <c r="K20" t="s">
        <v>744</v>
      </c>
      <c r="L20" t="s">
        <v>745</v>
      </c>
      <c r="M20" t="s">
        <v>746</v>
      </c>
      <c r="N20" t="s">
        <v>62</v>
      </c>
      <c r="O20" t="s">
        <v>597</v>
      </c>
      <c r="P20" t="s">
        <v>133</v>
      </c>
      <c r="Q20" t="s">
        <v>48</v>
      </c>
      <c r="R20" t="s">
        <v>101</v>
      </c>
      <c r="S20" t="s">
        <v>682</v>
      </c>
    </row>
    <row r="21" spans="1:21" ht="14.25">
      <c r="A21" t="s">
        <v>747</v>
      </c>
      <c r="B21" t="s">
        <v>300</v>
      </c>
      <c r="C21" t="s">
        <v>198</v>
      </c>
      <c r="D21" t="s">
        <v>301</v>
      </c>
      <c r="E21" t="s">
        <v>748</v>
      </c>
      <c r="F21" t="s">
        <v>366</v>
      </c>
      <c r="G21" t="s">
        <v>62</v>
      </c>
      <c r="H21" t="s">
        <v>446</v>
      </c>
      <c r="I21" t="s">
        <v>748</v>
      </c>
      <c r="J21" t="s">
        <v>672</v>
      </c>
      <c r="K21" t="s">
        <v>749</v>
      </c>
      <c r="L21" t="s">
        <v>750</v>
      </c>
      <c r="M21" t="s">
        <v>751</v>
      </c>
      <c r="N21" t="s">
        <v>62</v>
      </c>
      <c r="O21" t="s">
        <v>597</v>
      </c>
      <c r="P21" t="s">
        <v>133</v>
      </c>
      <c r="Q21" t="s">
        <v>48</v>
      </c>
      <c r="R21" t="s">
        <v>101</v>
      </c>
      <c r="S21" t="s">
        <v>682</v>
      </c>
    </row>
    <row r="22" spans="1:21">
      <c r="A22" t="s">
        <v>752</v>
      </c>
      <c r="B22" t="s">
        <v>350</v>
      </c>
      <c r="C22" t="s">
        <v>179</v>
      </c>
      <c r="D22" t="s">
        <v>351</v>
      </c>
      <c r="E22" t="s">
        <v>753</v>
      </c>
      <c r="F22" t="s">
        <v>366</v>
      </c>
      <c r="G22" t="s">
        <v>53</v>
      </c>
      <c r="H22" t="s">
        <v>475</v>
      </c>
      <c r="I22" t="s">
        <v>753</v>
      </c>
      <c r="J22" t="s">
        <v>672</v>
      </c>
      <c r="K22" t="s">
        <v>754</v>
      </c>
      <c r="L22" t="s">
        <v>755</v>
      </c>
      <c r="M22" t="s">
        <v>756</v>
      </c>
      <c r="N22" t="s">
        <v>53</v>
      </c>
      <c r="O22" t="s">
        <v>634</v>
      </c>
      <c r="P22" t="s">
        <v>133</v>
      </c>
      <c r="Q22" s="10"/>
      <c r="R22" s="10"/>
      <c r="S22" t="s">
        <v>682</v>
      </c>
      <c r="T22" t="s">
        <v>757</v>
      </c>
      <c r="U22" t="s">
        <v>758</v>
      </c>
    </row>
    <row r="23" spans="1:21" ht="0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</row>
    <row r="24" spans="1:21" ht="14.25">
      <c r="A24" t="s">
        <v>759</v>
      </c>
      <c r="B24" t="s">
        <v>274</v>
      </c>
      <c r="C24" t="s">
        <v>267</v>
      </c>
      <c r="D24" t="s">
        <v>275</v>
      </c>
      <c r="E24" t="s">
        <v>431</v>
      </c>
      <c r="F24" t="s">
        <v>366</v>
      </c>
      <c r="G24" t="s">
        <v>59</v>
      </c>
      <c r="H24" t="s">
        <v>429</v>
      </c>
      <c r="I24" t="s">
        <v>431</v>
      </c>
      <c r="J24" t="s">
        <v>672</v>
      </c>
      <c r="K24" t="s">
        <v>760</v>
      </c>
      <c r="L24" t="s">
        <v>761</v>
      </c>
      <c r="M24" t="s">
        <v>762</v>
      </c>
      <c r="N24" t="s">
        <v>59</v>
      </c>
      <c r="O24" t="s">
        <v>634</v>
      </c>
      <c r="P24" t="s">
        <v>204</v>
      </c>
      <c r="Q24" t="s">
        <v>48</v>
      </c>
      <c r="R24" t="s">
        <v>121</v>
      </c>
      <c r="S24" t="s">
        <v>682</v>
      </c>
    </row>
    <row r="25" spans="1:21" ht="14.25">
      <c r="A25" t="s">
        <v>763</v>
      </c>
      <c r="B25" t="s">
        <v>281</v>
      </c>
      <c r="C25" t="s">
        <v>267</v>
      </c>
      <c r="D25" t="s">
        <v>282</v>
      </c>
      <c r="E25" t="s">
        <v>764</v>
      </c>
      <c r="F25" t="s">
        <v>366</v>
      </c>
      <c r="G25" t="s">
        <v>59</v>
      </c>
      <c r="H25" t="s">
        <v>434</v>
      </c>
      <c r="I25" t="s">
        <v>436</v>
      </c>
      <c r="J25" t="s">
        <v>702</v>
      </c>
      <c r="K25" t="s">
        <v>765</v>
      </c>
      <c r="L25" t="s">
        <v>766</v>
      </c>
      <c r="M25" t="s">
        <v>767</v>
      </c>
      <c r="N25" t="s">
        <v>59</v>
      </c>
      <c r="O25" t="s">
        <v>634</v>
      </c>
      <c r="P25" t="s">
        <v>204</v>
      </c>
      <c r="Q25" t="s">
        <v>48</v>
      </c>
      <c r="R25" t="s">
        <v>121</v>
      </c>
      <c r="S25" t="s">
        <v>682</v>
      </c>
    </row>
    <row r="26" spans="1:21" ht="14.25">
      <c r="A26" t="s">
        <v>768</v>
      </c>
      <c r="B26" t="s">
        <v>288</v>
      </c>
      <c r="C26" t="s">
        <v>267</v>
      </c>
      <c r="D26" t="s">
        <v>289</v>
      </c>
      <c r="E26" t="s">
        <v>769</v>
      </c>
      <c r="F26" t="s">
        <v>366</v>
      </c>
      <c r="G26" t="s">
        <v>59</v>
      </c>
      <c r="H26" t="s">
        <v>439</v>
      </c>
      <c r="I26" t="s">
        <v>769</v>
      </c>
      <c r="J26" t="s">
        <v>672</v>
      </c>
      <c r="K26" t="s">
        <v>770</v>
      </c>
      <c r="L26" t="s">
        <v>771</v>
      </c>
      <c r="M26" t="s">
        <v>772</v>
      </c>
      <c r="N26" t="s">
        <v>59</v>
      </c>
      <c r="O26" t="s">
        <v>634</v>
      </c>
      <c r="P26" t="s">
        <v>204</v>
      </c>
      <c r="Q26" t="s">
        <v>48</v>
      </c>
      <c r="R26" t="s">
        <v>121</v>
      </c>
      <c r="S26" t="s">
        <v>682</v>
      </c>
    </row>
    <row r="27" spans="1:21" ht="14.25">
      <c r="A27" t="s">
        <v>773</v>
      </c>
      <c r="B27" t="s">
        <v>305</v>
      </c>
      <c r="C27" t="s">
        <v>198</v>
      </c>
      <c r="D27" t="s">
        <v>306</v>
      </c>
      <c r="E27" t="s">
        <v>774</v>
      </c>
      <c r="F27" t="s">
        <v>366</v>
      </c>
      <c r="G27" t="s">
        <v>62</v>
      </c>
      <c r="H27" t="s">
        <v>449</v>
      </c>
      <c r="I27" t="s">
        <v>774</v>
      </c>
      <c r="J27" t="s">
        <v>680</v>
      </c>
      <c r="K27" t="s">
        <v>775</v>
      </c>
      <c r="L27" t="s">
        <v>776</v>
      </c>
      <c r="M27" t="s">
        <v>777</v>
      </c>
      <c r="N27" t="s">
        <v>62</v>
      </c>
      <c r="O27" t="s">
        <v>634</v>
      </c>
      <c r="P27" t="s">
        <v>204</v>
      </c>
      <c r="Q27" t="s">
        <v>48</v>
      </c>
      <c r="R27" t="s">
        <v>101</v>
      </c>
      <c r="S27" t="s">
        <v>682</v>
      </c>
    </row>
    <row r="28" spans="1:21" ht="14.25">
      <c r="A28" t="s">
        <v>778</v>
      </c>
      <c r="B28" t="s">
        <v>312</v>
      </c>
      <c r="C28" t="s">
        <v>198</v>
      </c>
      <c r="D28" t="s">
        <v>313</v>
      </c>
      <c r="E28" t="s">
        <v>779</v>
      </c>
      <c r="F28" t="s">
        <v>366</v>
      </c>
      <c r="G28" t="s">
        <v>62</v>
      </c>
      <c r="H28" t="s">
        <v>453</v>
      </c>
      <c r="I28" t="s">
        <v>780</v>
      </c>
      <c r="J28" t="s">
        <v>702</v>
      </c>
      <c r="K28" t="s">
        <v>781</v>
      </c>
      <c r="L28" t="s">
        <v>782</v>
      </c>
      <c r="M28" t="s">
        <v>783</v>
      </c>
      <c r="N28" t="s">
        <v>62</v>
      </c>
      <c r="O28" t="s">
        <v>634</v>
      </c>
      <c r="P28" t="s">
        <v>204</v>
      </c>
      <c r="Q28" t="s">
        <v>48</v>
      </c>
      <c r="R28" t="s">
        <v>101</v>
      </c>
      <c r="S28" t="s">
        <v>682</v>
      </c>
    </row>
    <row r="29" spans="1:21" ht="14.25">
      <c r="A29" t="s">
        <v>784</v>
      </c>
      <c r="B29" t="s">
        <v>319</v>
      </c>
      <c r="C29" t="s">
        <v>321</v>
      </c>
      <c r="D29" t="s">
        <v>322</v>
      </c>
      <c r="E29" t="s">
        <v>323</v>
      </c>
      <c r="F29" t="s">
        <v>366</v>
      </c>
      <c r="G29" t="s">
        <v>458</v>
      </c>
      <c r="H29" t="s">
        <v>459</v>
      </c>
      <c r="I29" t="s">
        <v>785</v>
      </c>
      <c r="J29" t="s">
        <v>672</v>
      </c>
      <c r="K29" t="s">
        <v>786</v>
      </c>
      <c r="L29" t="s">
        <v>787</v>
      </c>
      <c r="M29" t="s">
        <v>788</v>
      </c>
      <c r="N29" t="s">
        <v>458</v>
      </c>
      <c r="O29" t="s">
        <v>634</v>
      </c>
      <c r="P29" t="s">
        <v>92</v>
      </c>
      <c r="Q29" t="s">
        <v>48</v>
      </c>
      <c r="R29" t="s">
        <v>111</v>
      </c>
      <c r="S29" t="s">
        <v>682</v>
      </c>
    </row>
    <row r="30" spans="1:21" ht="14.25">
      <c r="A30" t="s">
        <v>789</v>
      </c>
      <c r="B30" t="s">
        <v>328</v>
      </c>
      <c r="C30" t="s">
        <v>321</v>
      </c>
      <c r="D30" t="s">
        <v>329</v>
      </c>
      <c r="E30" t="s">
        <v>790</v>
      </c>
      <c r="F30" t="s">
        <v>366</v>
      </c>
      <c r="G30" t="s">
        <v>458</v>
      </c>
      <c r="H30" t="s">
        <v>461</v>
      </c>
      <c r="I30" t="s">
        <v>791</v>
      </c>
      <c r="J30" t="s">
        <v>680</v>
      </c>
      <c r="K30" t="s">
        <v>792</v>
      </c>
      <c r="L30" t="s">
        <v>793</v>
      </c>
      <c r="M30" t="s">
        <v>794</v>
      </c>
      <c r="N30" t="s">
        <v>458</v>
      </c>
      <c r="O30" t="s">
        <v>634</v>
      </c>
      <c r="P30" t="s">
        <v>204</v>
      </c>
      <c r="Q30" t="s">
        <v>48</v>
      </c>
      <c r="R30" t="s">
        <v>111</v>
      </c>
      <c r="S30" t="s">
        <v>682</v>
      </c>
    </row>
    <row r="31" spans="1:21" ht="14.25">
      <c r="A31" t="s">
        <v>795</v>
      </c>
      <c r="B31" t="s">
        <v>335</v>
      </c>
      <c r="C31" t="s">
        <v>321</v>
      </c>
      <c r="D31" t="s">
        <v>336</v>
      </c>
      <c r="E31" t="s">
        <v>796</v>
      </c>
      <c r="F31" t="s">
        <v>366</v>
      </c>
      <c r="G31" t="s">
        <v>458</v>
      </c>
      <c r="H31" t="s">
        <v>464</v>
      </c>
      <c r="I31" t="s">
        <v>465</v>
      </c>
      <c r="J31" t="s">
        <v>672</v>
      </c>
      <c r="K31" t="s">
        <v>797</v>
      </c>
      <c r="L31" t="s">
        <v>798</v>
      </c>
      <c r="M31" t="s">
        <v>799</v>
      </c>
      <c r="N31" t="s">
        <v>458</v>
      </c>
      <c r="O31" t="s">
        <v>634</v>
      </c>
      <c r="P31" t="s">
        <v>204</v>
      </c>
      <c r="Q31" t="s">
        <v>48</v>
      </c>
      <c r="R31" t="s">
        <v>111</v>
      </c>
      <c r="S31" t="s">
        <v>682</v>
      </c>
    </row>
    <row r="32" spans="1:21" ht="14.25">
      <c r="A32" t="s">
        <v>800</v>
      </c>
      <c r="B32" t="s">
        <v>340</v>
      </c>
      <c r="C32" t="s">
        <v>207</v>
      </c>
      <c r="D32" t="s">
        <v>341</v>
      </c>
      <c r="E32" t="s">
        <v>801</v>
      </c>
      <c r="F32" t="s">
        <v>366</v>
      </c>
      <c r="G32" t="s">
        <v>56</v>
      </c>
      <c r="H32" t="s">
        <v>467</v>
      </c>
      <c r="I32" t="s">
        <v>468</v>
      </c>
      <c r="J32" t="s">
        <v>672</v>
      </c>
      <c r="K32" t="s">
        <v>802</v>
      </c>
      <c r="L32" t="s">
        <v>803</v>
      </c>
      <c r="M32" t="s">
        <v>804</v>
      </c>
      <c r="N32" t="s">
        <v>516</v>
      </c>
      <c r="O32" t="s">
        <v>634</v>
      </c>
      <c r="P32" t="s">
        <v>123</v>
      </c>
      <c r="Q32" t="s">
        <v>503</v>
      </c>
      <c r="R32" t="s">
        <v>90</v>
      </c>
      <c r="S32" t="s">
        <v>673</v>
      </c>
      <c r="U32" t="s">
        <v>805</v>
      </c>
    </row>
    <row r="33" spans="1:21" ht="14.25">
      <c r="A33" t="s">
        <v>806</v>
      </c>
      <c r="B33" t="s">
        <v>345</v>
      </c>
      <c r="C33" t="s">
        <v>207</v>
      </c>
      <c r="D33" t="s">
        <v>346</v>
      </c>
      <c r="E33" t="s">
        <v>807</v>
      </c>
      <c r="F33" t="s">
        <v>366</v>
      </c>
      <c r="G33" t="s">
        <v>56</v>
      </c>
      <c r="H33" t="s">
        <v>470</v>
      </c>
      <c r="I33" t="s">
        <v>808</v>
      </c>
      <c r="J33" t="s">
        <v>680</v>
      </c>
      <c r="K33" t="s">
        <v>809</v>
      </c>
      <c r="L33" t="s">
        <v>810</v>
      </c>
      <c r="M33" t="s">
        <v>811</v>
      </c>
      <c r="N33" t="s">
        <v>516</v>
      </c>
      <c r="O33" t="s">
        <v>634</v>
      </c>
      <c r="P33" t="s">
        <v>204</v>
      </c>
      <c r="Q33" t="s">
        <v>48</v>
      </c>
      <c r="R33" t="s">
        <v>90</v>
      </c>
      <c r="S33" t="s">
        <v>673</v>
      </c>
    </row>
    <row r="34" spans="1:21">
      <c r="A34" t="s">
        <v>812</v>
      </c>
      <c r="B34" t="s">
        <v>234</v>
      </c>
      <c r="C34" t="s">
        <v>207</v>
      </c>
      <c r="D34" t="s">
        <v>235</v>
      </c>
      <c r="E34" t="s">
        <v>708</v>
      </c>
      <c r="F34" t="s">
        <v>366</v>
      </c>
      <c r="G34" t="s">
        <v>56</v>
      </c>
      <c r="H34" t="s">
        <v>406</v>
      </c>
      <c r="I34" t="s">
        <v>407</v>
      </c>
      <c r="J34" t="s">
        <v>672</v>
      </c>
      <c r="K34" t="s">
        <v>813</v>
      </c>
      <c r="L34" s="10"/>
      <c r="M34" t="s">
        <v>814</v>
      </c>
      <c r="N34" t="s">
        <v>516</v>
      </c>
      <c r="O34" t="s">
        <v>634</v>
      </c>
      <c r="P34" t="s">
        <v>123</v>
      </c>
      <c r="Q34" t="s">
        <v>503</v>
      </c>
      <c r="R34" t="s">
        <v>90</v>
      </c>
      <c r="S34" t="s">
        <v>673</v>
      </c>
      <c r="T34" t="s">
        <v>815</v>
      </c>
      <c r="U34" t="s">
        <v>816</v>
      </c>
    </row>
    <row r="35" spans="1:21">
      <c r="A35" t="s">
        <v>817</v>
      </c>
      <c r="B35" t="s">
        <v>247</v>
      </c>
      <c r="C35" t="s">
        <v>179</v>
      </c>
      <c r="D35" t="s">
        <v>248</v>
      </c>
      <c r="E35" t="s">
        <v>720</v>
      </c>
      <c r="F35" t="s">
        <v>366</v>
      </c>
      <c r="G35" t="s">
        <v>53</v>
      </c>
      <c r="H35" t="s">
        <v>416</v>
      </c>
      <c r="I35" t="s">
        <v>720</v>
      </c>
      <c r="J35" t="s">
        <v>680</v>
      </c>
      <c r="K35" t="s">
        <v>722</v>
      </c>
      <c r="L35" t="s">
        <v>818</v>
      </c>
      <c r="M35" s="10"/>
      <c r="N35" t="s">
        <v>53</v>
      </c>
      <c r="O35" t="s">
        <v>597</v>
      </c>
      <c r="P35" t="s">
        <v>204</v>
      </c>
      <c r="Q35" t="s">
        <v>48</v>
      </c>
      <c r="R35" t="s">
        <v>90</v>
      </c>
      <c r="S35" t="s">
        <v>682</v>
      </c>
      <c r="T35" t="s">
        <v>819</v>
      </c>
      <c r="U35" t="s">
        <v>820</v>
      </c>
    </row>
    <row r="36" spans="1:21">
      <c r="A36" t="s">
        <v>821</v>
      </c>
      <c r="B36" t="s">
        <v>281</v>
      </c>
      <c r="C36" t="s">
        <v>267</v>
      </c>
      <c r="D36" t="s">
        <v>282</v>
      </c>
      <c r="E36" t="s">
        <v>764</v>
      </c>
      <c r="F36" t="s">
        <v>366</v>
      </c>
      <c r="G36" t="s">
        <v>59</v>
      </c>
      <c r="H36" t="s">
        <v>434</v>
      </c>
      <c r="I36" t="s">
        <v>822</v>
      </c>
      <c r="J36" s="10" t="s">
        <v>672</v>
      </c>
      <c r="K36" t="s">
        <v>823</v>
      </c>
      <c r="L36" t="s">
        <v>824</v>
      </c>
      <c r="M36" t="s">
        <v>825</v>
      </c>
      <c r="N36" t="s">
        <v>59</v>
      </c>
      <c r="O36" t="s">
        <v>634</v>
      </c>
      <c r="P36" t="s">
        <v>204</v>
      </c>
      <c r="Q36" t="s">
        <v>48</v>
      </c>
      <c r="R36" t="s">
        <v>121</v>
      </c>
      <c r="S36" t="s">
        <v>682</v>
      </c>
      <c r="T36" t="s">
        <v>826</v>
      </c>
      <c r="U36" t="s">
        <v>827</v>
      </c>
    </row>
    <row r="37" spans="1:21" ht="14.25">
      <c r="A37" t="s">
        <v>828</v>
      </c>
      <c r="B37" t="s">
        <v>214</v>
      </c>
      <c r="C37" t="s">
        <v>207</v>
      </c>
      <c r="D37" t="s">
        <v>215</v>
      </c>
      <c r="E37" t="s">
        <v>691</v>
      </c>
      <c r="F37" t="s">
        <v>366</v>
      </c>
      <c r="G37" t="s">
        <v>56</v>
      </c>
      <c r="H37" t="s">
        <v>394</v>
      </c>
      <c r="I37" t="s">
        <v>691</v>
      </c>
      <c r="J37" t="s">
        <v>672</v>
      </c>
      <c r="K37" t="s">
        <v>829</v>
      </c>
      <c r="L37" t="s">
        <v>830</v>
      </c>
      <c r="M37" t="s">
        <v>831</v>
      </c>
      <c r="N37" t="s">
        <v>516</v>
      </c>
      <c r="O37" t="s">
        <v>634</v>
      </c>
      <c r="P37" t="s">
        <v>123</v>
      </c>
      <c r="Q37" t="s">
        <v>48</v>
      </c>
      <c r="R37" t="s">
        <v>90</v>
      </c>
      <c r="S37" t="s">
        <v>673</v>
      </c>
    </row>
    <row r="38" spans="1:21" ht="14.25">
      <c r="A38" t="s">
        <v>832</v>
      </c>
      <c r="B38" t="s">
        <v>221</v>
      </c>
      <c r="C38" t="s">
        <v>207</v>
      </c>
      <c r="D38" t="s">
        <v>222</v>
      </c>
      <c r="E38" t="s">
        <v>696</v>
      </c>
      <c r="F38" t="s">
        <v>366</v>
      </c>
      <c r="G38" t="s">
        <v>56</v>
      </c>
      <c r="H38" t="s">
        <v>398</v>
      </c>
      <c r="I38" t="s">
        <v>696</v>
      </c>
      <c r="J38" t="s">
        <v>672</v>
      </c>
      <c r="K38" t="s">
        <v>833</v>
      </c>
      <c r="L38" t="s">
        <v>834</v>
      </c>
      <c r="M38" t="s">
        <v>835</v>
      </c>
      <c r="N38" t="s">
        <v>516</v>
      </c>
      <c r="O38" t="s">
        <v>634</v>
      </c>
      <c r="P38" t="s">
        <v>123</v>
      </c>
      <c r="Q38" t="s">
        <v>48</v>
      </c>
      <c r="R38" t="s">
        <v>90</v>
      </c>
      <c r="S38" t="s">
        <v>673</v>
      </c>
    </row>
    <row r="39" spans="1:2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</sheetData>
  <mergeCells count="2">
    <mergeCell ref="A1:U1"/>
    <mergeCell ref="A2:U2"/>
  </mergeCells>
  <dataValidations count="5">
    <dataValidation type="list" sqref="J5:J7 J39:J107" xr:uid="{00000000-0002-0000-0700-000000000000}">
      <formula1>"Direct,Transform,Derive,Default,Lookup,Not Migrated,New Target Field"</formula1>
    </dataValidation>
    <dataValidation type="list" sqref="N5:N7 N39:N107" xr:uid="{00000000-0002-0000-0700-000001000000}">
      <formula1>"Loan,Borrower,Property,Payment,Escrow,Investor,Default,Compliance,Communication"</formula1>
    </dataValidation>
    <dataValidation type="list" sqref="O5:O7 O39:O107" xr:uid="{00000000-0002-0000-0700-000002000000}">
      <formula1>"Tier 1,Tier 2,Tier 3,Tier 4"</formula1>
    </dataValidation>
    <dataValidation type="list" sqref="P5:P7 P39:P107" xr:uid="{00000000-0002-0000-0700-000003000000}">
      <formula1>"Public,Internal,Confidential,PII,NPI,PCI"</formula1>
    </dataValidation>
    <dataValidation type="list" sqref="Q5:Q7 Q39:Q107" xr:uid="{00000000-0002-0000-0700-000004000000}">
      <formula1>"Draft,In Review,SME Approved,Tech Approved,Approved,Implemented,Tested,Deferred,Retired"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6"/>
  <sheetViews>
    <sheetView zoomScaleNormal="100" zoomScaleSheetLayoutView="100" workbookViewId="0">
      <selection activeCell="A9" sqref="A9"/>
    </sheetView>
  </sheetViews>
  <sheetFormatPr defaultRowHeight="15"/>
  <cols>
    <col min="1" max="1" width="14" customWidth="1"/>
    <col min="2" max="2" width="32" customWidth="1"/>
    <col min="3" max="3" width="18" customWidth="1"/>
    <col min="4" max="4" width="44" customWidth="1"/>
    <col min="5" max="5" width="34" customWidth="1"/>
    <col min="6" max="6" width="30" customWidth="1"/>
    <col min="7" max="7" width="56" customWidth="1"/>
    <col min="8" max="8" width="42" customWidth="1"/>
    <col min="9" max="10" width="18" customWidth="1"/>
    <col min="11" max="11" width="26" customWidth="1"/>
    <col min="12" max="12" width="36" customWidth="1"/>
  </cols>
  <sheetData>
    <row r="1" spans="1:12" ht="30" customHeight="1">
      <c r="A1" s="18" t="s">
        <v>23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4" customHeight="1">
      <c r="A2" s="19" t="s">
        <v>836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33.950000000000003" customHeight="1">
      <c r="A4" s="2" t="s">
        <v>837</v>
      </c>
      <c r="B4" s="2" t="s">
        <v>838</v>
      </c>
      <c r="C4" s="2" t="s">
        <v>839</v>
      </c>
      <c r="D4" s="2" t="s">
        <v>840</v>
      </c>
      <c r="E4" s="2" t="s">
        <v>841</v>
      </c>
      <c r="F4" s="2" t="s">
        <v>842</v>
      </c>
      <c r="G4" s="2" t="s">
        <v>843</v>
      </c>
      <c r="H4" s="2" t="s">
        <v>844</v>
      </c>
      <c r="I4" s="2" t="s">
        <v>78</v>
      </c>
      <c r="J4" s="2" t="s">
        <v>484</v>
      </c>
      <c r="K4" s="2" t="s">
        <v>845</v>
      </c>
      <c r="L4" s="2" t="s">
        <v>84</v>
      </c>
    </row>
    <row r="5" spans="1:12" ht="1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pans="1:12" ht="14.25">
      <c r="A6" t="s">
        <v>687</v>
      </c>
      <c r="B6" t="s">
        <v>846</v>
      </c>
      <c r="C6" t="s">
        <v>680</v>
      </c>
      <c r="D6" t="s">
        <v>847</v>
      </c>
      <c r="E6" t="s">
        <v>848</v>
      </c>
      <c r="F6" t="s">
        <v>849</v>
      </c>
      <c r="G6" t="s">
        <v>850</v>
      </c>
      <c r="H6" t="s">
        <v>851</v>
      </c>
      <c r="I6" t="s">
        <v>101</v>
      </c>
      <c r="J6" t="s">
        <v>48</v>
      </c>
      <c r="K6" t="s">
        <v>677</v>
      </c>
    </row>
    <row r="7" spans="1:12" ht="14.25">
      <c r="A7" t="s">
        <v>692</v>
      </c>
      <c r="B7" t="s">
        <v>852</v>
      </c>
      <c r="C7" t="s">
        <v>672</v>
      </c>
      <c r="D7" t="s">
        <v>853</v>
      </c>
      <c r="E7" t="s">
        <v>854</v>
      </c>
      <c r="F7" t="s">
        <v>855</v>
      </c>
      <c r="G7" t="s">
        <v>856</v>
      </c>
      <c r="H7" t="s">
        <v>857</v>
      </c>
      <c r="I7" t="s">
        <v>90</v>
      </c>
      <c r="J7" t="s">
        <v>48</v>
      </c>
      <c r="K7" t="s">
        <v>690</v>
      </c>
    </row>
    <row r="8" spans="1:12" ht="14.25">
      <c r="A8" t="s">
        <v>697</v>
      </c>
      <c r="B8" t="s">
        <v>858</v>
      </c>
      <c r="C8" t="s">
        <v>672</v>
      </c>
      <c r="D8" t="s">
        <v>859</v>
      </c>
      <c r="E8" t="s">
        <v>860</v>
      </c>
      <c r="F8" t="s">
        <v>861</v>
      </c>
      <c r="G8" t="s">
        <v>856</v>
      </c>
      <c r="H8" t="s">
        <v>857</v>
      </c>
      <c r="I8" t="s">
        <v>90</v>
      </c>
      <c r="J8" t="s">
        <v>48</v>
      </c>
      <c r="K8" t="s">
        <v>695</v>
      </c>
    </row>
    <row r="9" spans="1:12" ht="14.25">
      <c r="A9" t="s">
        <v>862</v>
      </c>
      <c r="B9" t="s">
        <v>863</v>
      </c>
      <c r="C9" t="s">
        <v>672</v>
      </c>
      <c r="D9" t="s">
        <v>864</v>
      </c>
      <c r="E9" t="s">
        <v>865</v>
      </c>
      <c r="F9" t="s">
        <v>866</v>
      </c>
      <c r="G9" t="s">
        <v>856</v>
      </c>
      <c r="H9" t="s">
        <v>186</v>
      </c>
      <c r="I9" t="s">
        <v>90</v>
      </c>
      <c r="J9" t="s">
        <v>48</v>
      </c>
      <c r="K9" t="s">
        <v>685</v>
      </c>
    </row>
    <row r="10" spans="1:12" ht="14.25">
      <c r="A10" t="s">
        <v>709</v>
      </c>
      <c r="B10" t="s">
        <v>867</v>
      </c>
      <c r="C10" t="s">
        <v>868</v>
      </c>
      <c r="D10" t="s">
        <v>869</v>
      </c>
      <c r="E10" t="s">
        <v>870</v>
      </c>
      <c r="F10" t="s">
        <v>871</v>
      </c>
      <c r="G10" t="s">
        <v>872</v>
      </c>
      <c r="H10" t="s">
        <v>873</v>
      </c>
      <c r="I10" t="s">
        <v>90</v>
      </c>
      <c r="J10" t="s">
        <v>544</v>
      </c>
      <c r="K10" t="s">
        <v>707</v>
      </c>
    </row>
    <row r="11" spans="1:12" ht="14.25">
      <c r="A11" t="s">
        <v>874</v>
      </c>
      <c r="B11" t="s">
        <v>875</v>
      </c>
      <c r="C11" t="s">
        <v>702</v>
      </c>
      <c r="D11" t="s">
        <v>876</v>
      </c>
      <c r="E11" t="s">
        <v>877</v>
      </c>
      <c r="F11" t="s">
        <v>878</v>
      </c>
      <c r="G11" t="s">
        <v>879</v>
      </c>
      <c r="H11" t="s">
        <v>880</v>
      </c>
      <c r="I11" t="s">
        <v>90</v>
      </c>
      <c r="J11" t="s">
        <v>48</v>
      </c>
      <c r="K11" t="s">
        <v>714</v>
      </c>
    </row>
    <row r="12" spans="1:12" ht="14.25">
      <c r="A12" t="s">
        <v>881</v>
      </c>
      <c r="B12" t="s">
        <v>882</v>
      </c>
      <c r="C12" t="s">
        <v>702</v>
      </c>
      <c r="D12" t="s">
        <v>883</v>
      </c>
      <c r="E12" t="s">
        <v>884</v>
      </c>
      <c r="F12" t="s">
        <v>885</v>
      </c>
      <c r="G12" t="s">
        <v>886</v>
      </c>
      <c r="H12" t="s">
        <v>887</v>
      </c>
      <c r="I12" t="s">
        <v>90</v>
      </c>
      <c r="J12" t="s">
        <v>503</v>
      </c>
      <c r="K12" t="s">
        <v>700</v>
      </c>
    </row>
    <row r="13" spans="1:12" ht="14.25">
      <c r="A13" t="s">
        <v>888</v>
      </c>
      <c r="B13" t="s">
        <v>889</v>
      </c>
      <c r="C13" t="s">
        <v>680</v>
      </c>
      <c r="D13" t="s">
        <v>890</v>
      </c>
      <c r="E13" t="s">
        <v>891</v>
      </c>
      <c r="F13" t="s">
        <v>892</v>
      </c>
      <c r="G13" t="s">
        <v>893</v>
      </c>
      <c r="H13" t="s">
        <v>894</v>
      </c>
      <c r="I13" t="s">
        <v>90</v>
      </c>
      <c r="J13" t="s">
        <v>48</v>
      </c>
      <c r="K13" t="s">
        <v>719</v>
      </c>
    </row>
    <row r="14" spans="1:12" ht="14.25">
      <c r="A14" t="s">
        <v>895</v>
      </c>
      <c r="B14" t="s">
        <v>896</v>
      </c>
      <c r="C14" t="s">
        <v>672</v>
      </c>
      <c r="D14" t="s">
        <v>897</v>
      </c>
      <c r="E14" t="s">
        <v>898</v>
      </c>
      <c r="F14" t="s">
        <v>899</v>
      </c>
      <c r="G14" t="s">
        <v>900</v>
      </c>
      <c r="H14" t="s">
        <v>901</v>
      </c>
      <c r="I14" t="s">
        <v>131</v>
      </c>
      <c r="J14" t="s">
        <v>48</v>
      </c>
      <c r="K14" t="s">
        <v>725</v>
      </c>
    </row>
    <row r="15" spans="1:12" ht="14.25">
      <c r="A15" t="s">
        <v>902</v>
      </c>
      <c r="B15" t="s">
        <v>903</v>
      </c>
      <c r="C15" t="s">
        <v>672</v>
      </c>
      <c r="D15" t="s">
        <v>904</v>
      </c>
      <c r="E15" t="s">
        <v>905</v>
      </c>
      <c r="F15" t="s">
        <v>906</v>
      </c>
      <c r="G15" t="s">
        <v>900</v>
      </c>
      <c r="H15" t="s">
        <v>907</v>
      </c>
      <c r="I15" t="s">
        <v>131</v>
      </c>
      <c r="J15" t="s">
        <v>48</v>
      </c>
      <c r="K15" t="s">
        <v>730</v>
      </c>
    </row>
    <row r="16" spans="1:12" ht="14.25">
      <c r="A16" t="s">
        <v>727</v>
      </c>
      <c r="B16" t="s">
        <v>908</v>
      </c>
      <c r="C16" t="s">
        <v>672</v>
      </c>
      <c r="D16" t="s">
        <v>909</v>
      </c>
      <c r="E16" t="s">
        <v>910</v>
      </c>
      <c r="F16" t="s">
        <v>911</v>
      </c>
      <c r="G16" t="s">
        <v>856</v>
      </c>
      <c r="H16" t="s">
        <v>912</v>
      </c>
      <c r="I16" t="s">
        <v>121</v>
      </c>
      <c r="J16" t="s">
        <v>48</v>
      </c>
      <c r="K16" t="s">
        <v>735</v>
      </c>
    </row>
    <row r="17" spans="1:12" ht="14.25">
      <c r="A17" t="s">
        <v>732</v>
      </c>
      <c r="B17" t="s">
        <v>913</v>
      </c>
      <c r="C17" t="s">
        <v>672</v>
      </c>
      <c r="D17" t="s">
        <v>914</v>
      </c>
      <c r="E17" t="s">
        <v>915</v>
      </c>
      <c r="F17" t="s">
        <v>916</v>
      </c>
      <c r="G17" t="s">
        <v>856</v>
      </c>
      <c r="H17" t="s">
        <v>912</v>
      </c>
      <c r="I17" t="s">
        <v>121</v>
      </c>
      <c r="J17" t="s">
        <v>48</v>
      </c>
      <c r="K17" t="s">
        <v>759</v>
      </c>
    </row>
    <row r="18" spans="1:12" ht="14.25">
      <c r="A18" t="s">
        <v>737</v>
      </c>
      <c r="B18" t="s">
        <v>917</v>
      </c>
      <c r="C18" t="s">
        <v>702</v>
      </c>
      <c r="D18" t="s">
        <v>918</v>
      </c>
      <c r="E18" t="s">
        <v>919</v>
      </c>
      <c r="F18" t="s">
        <v>920</v>
      </c>
      <c r="G18" t="s">
        <v>921</v>
      </c>
      <c r="H18" t="s">
        <v>922</v>
      </c>
      <c r="I18" t="s">
        <v>121</v>
      </c>
      <c r="J18" t="s">
        <v>48</v>
      </c>
      <c r="K18" t="s">
        <v>763</v>
      </c>
    </row>
    <row r="19" spans="1:12" ht="14.25">
      <c r="A19" t="s">
        <v>923</v>
      </c>
      <c r="B19" t="s">
        <v>924</v>
      </c>
      <c r="C19" t="s">
        <v>672</v>
      </c>
      <c r="D19" t="s">
        <v>925</v>
      </c>
      <c r="E19" t="s">
        <v>926</v>
      </c>
      <c r="F19" t="s">
        <v>927</v>
      </c>
      <c r="G19" t="s">
        <v>856</v>
      </c>
      <c r="H19" t="s">
        <v>928</v>
      </c>
      <c r="I19" t="s">
        <v>121</v>
      </c>
      <c r="J19" t="s">
        <v>48</v>
      </c>
      <c r="K19" t="s">
        <v>768</v>
      </c>
    </row>
    <row r="20" spans="1:12" ht="14.25">
      <c r="A20" t="s">
        <v>744</v>
      </c>
      <c r="B20" t="s">
        <v>929</v>
      </c>
      <c r="C20" t="s">
        <v>680</v>
      </c>
      <c r="D20" t="s">
        <v>930</v>
      </c>
      <c r="E20" t="s">
        <v>931</v>
      </c>
      <c r="F20" t="s">
        <v>932</v>
      </c>
      <c r="G20" t="s">
        <v>933</v>
      </c>
      <c r="H20" t="s">
        <v>922</v>
      </c>
      <c r="I20" t="s">
        <v>101</v>
      </c>
      <c r="J20" t="s">
        <v>48</v>
      </c>
      <c r="K20" t="s">
        <v>773</v>
      </c>
    </row>
    <row r="21" spans="1:12" ht="14.25">
      <c r="A21" t="s">
        <v>749</v>
      </c>
      <c r="B21" t="s">
        <v>314</v>
      </c>
      <c r="C21" t="s">
        <v>702</v>
      </c>
      <c r="D21" t="s">
        <v>934</v>
      </c>
      <c r="E21" t="s">
        <v>935</v>
      </c>
      <c r="F21" t="s">
        <v>936</v>
      </c>
      <c r="G21" t="s">
        <v>937</v>
      </c>
      <c r="H21" t="s">
        <v>938</v>
      </c>
      <c r="I21" t="s">
        <v>101</v>
      </c>
      <c r="J21" t="s">
        <v>48</v>
      </c>
      <c r="K21" t="s">
        <v>778</v>
      </c>
    </row>
    <row r="22" spans="1:12" ht="14.25">
      <c r="A22" t="s">
        <v>754</v>
      </c>
      <c r="B22" t="s">
        <v>939</v>
      </c>
      <c r="C22" t="s">
        <v>680</v>
      </c>
      <c r="D22" t="s">
        <v>940</v>
      </c>
      <c r="E22" t="s">
        <v>941</v>
      </c>
      <c r="F22" t="s">
        <v>942</v>
      </c>
      <c r="G22" t="s">
        <v>933</v>
      </c>
      <c r="H22" t="s">
        <v>922</v>
      </c>
      <c r="I22" t="s">
        <v>111</v>
      </c>
      <c r="J22" t="s">
        <v>48</v>
      </c>
      <c r="K22" t="s">
        <v>789</v>
      </c>
    </row>
    <row r="23" spans="1:12" ht="14.25">
      <c r="A23" t="s">
        <v>760</v>
      </c>
      <c r="B23" t="s">
        <v>943</v>
      </c>
      <c r="C23" t="s">
        <v>672</v>
      </c>
      <c r="D23" t="s">
        <v>944</v>
      </c>
      <c r="E23" t="s">
        <v>945</v>
      </c>
      <c r="F23" t="s">
        <v>946</v>
      </c>
      <c r="G23" t="s">
        <v>856</v>
      </c>
      <c r="H23" t="s">
        <v>912</v>
      </c>
      <c r="I23" t="s">
        <v>90</v>
      </c>
      <c r="J23" t="s">
        <v>48</v>
      </c>
      <c r="K23" t="s">
        <v>800</v>
      </c>
    </row>
    <row r="24" spans="1:12" ht="14.25">
      <c r="A24" t="s">
        <v>947</v>
      </c>
      <c r="B24" t="s">
        <v>948</v>
      </c>
      <c r="C24" t="s">
        <v>680</v>
      </c>
      <c r="D24" t="s">
        <v>949</v>
      </c>
      <c r="E24" t="s">
        <v>950</v>
      </c>
      <c r="F24" t="s">
        <v>951</v>
      </c>
      <c r="G24" t="s">
        <v>952</v>
      </c>
      <c r="H24" t="s">
        <v>922</v>
      </c>
      <c r="I24" t="s">
        <v>90</v>
      </c>
      <c r="J24" t="s">
        <v>48</v>
      </c>
      <c r="K24" t="s">
        <v>806</v>
      </c>
    </row>
    <row r="25" spans="1:12" ht="14.25">
      <c r="A25" t="s">
        <v>770</v>
      </c>
      <c r="B25" t="s">
        <v>953</v>
      </c>
      <c r="C25" t="s">
        <v>672</v>
      </c>
      <c r="D25" t="s">
        <v>954</v>
      </c>
      <c r="E25" t="s">
        <v>955</v>
      </c>
      <c r="F25" t="s">
        <v>956</v>
      </c>
      <c r="G25" t="s">
        <v>900</v>
      </c>
      <c r="H25" t="s">
        <v>957</v>
      </c>
      <c r="I25" t="s">
        <v>90</v>
      </c>
      <c r="J25" t="s">
        <v>48</v>
      </c>
      <c r="K25" t="s">
        <v>752</v>
      </c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</sheetData>
  <mergeCells count="2">
    <mergeCell ref="A1:L1"/>
    <mergeCell ref="A2:L2"/>
  </mergeCells>
  <dataValidations count="2">
    <dataValidation type="list" sqref="C26:C66" xr:uid="{00000000-0002-0000-0800-000000000000}">
      <formula1>"Transform,Derive,Default,Lookup,Format,Calculation,Survivorship"</formula1>
    </dataValidation>
    <dataValidation type="list" sqref="J26:J66" xr:uid="{00000000-0002-0000-0800-000001000000}">
      <formula1>"Draft,In Review,Approved,Rejected,Deferred"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0"/>
  <sheetViews>
    <sheetView topLeftCell="D8" zoomScaleNormal="100" zoomScaleSheetLayoutView="100" workbookViewId="0">
      <selection activeCell="H26" sqref="H26"/>
    </sheetView>
  </sheetViews>
  <sheetFormatPr defaultRowHeight="15"/>
  <cols>
    <col min="1" max="1" width="14" customWidth="1"/>
    <col min="2" max="2" width="26" customWidth="1"/>
    <col min="3" max="3" width="24" customWidth="1"/>
    <col min="4" max="4" width="16" customWidth="1"/>
    <col min="5" max="5" width="32" customWidth="1"/>
    <col min="6" max="6" width="26" customWidth="1"/>
    <col min="7" max="7" width="18" customWidth="1"/>
    <col min="8" max="8" width="32" customWidth="1"/>
    <col min="9" max="10" width="16" customWidth="1"/>
    <col min="11" max="12" width="18" customWidth="1"/>
    <col min="13" max="13" width="40" customWidth="1"/>
  </cols>
  <sheetData>
    <row r="1" spans="1:13" ht="30" customHeight="1">
      <c r="A1" s="18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4" customHeight="1">
      <c r="A2" s="19" t="s">
        <v>958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ht="33.950000000000003" customHeight="1">
      <c r="A4" s="2" t="s">
        <v>959</v>
      </c>
      <c r="B4" s="2" t="s">
        <v>960</v>
      </c>
      <c r="C4" s="2" t="s">
        <v>164</v>
      </c>
      <c r="D4" s="2" t="s">
        <v>961</v>
      </c>
      <c r="E4" s="2" t="s">
        <v>962</v>
      </c>
      <c r="F4" s="2" t="s">
        <v>357</v>
      </c>
      <c r="G4" s="2" t="s">
        <v>963</v>
      </c>
      <c r="H4" s="2" t="s">
        <v>964</v>
      </c>
      <c r="I4" s="2" t="s">
        <v>965</v>
      </c>
      <c r="J4" s="2" t="s">
        <v>966</v>
      </c>
      <c r="K4" s="2" t="s">
        <v>484</v>
      </c>
      <c r="L4" s="2" t="s">
        <v>78</v>
      </c>
      <c r="M4" s="2" t="s">
        <v>84</v>
      </c>
    </row>
    <row r="5" spans="1:13" ht="1.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ht="14.25">
      <c r="A6" t="s">
        <v>967</v>
      </c>
      <c r="B6" t="s">
        <v>200</v>
      </c>
      <c r="C6" t="s">
        <v>86</v>
      </c>
      <c r="D6" t="s">
        <v>203</v>
      </c>
      <c r="E6" t="s">
        <v>968</v>
      </c>
      <c r="F6" t="s">
        <v>366</v>
      </c>
      <c r="G6" t="s">
        <v>62</v>
      </c>
      <c r="H6" t="s">
        <v>969</v>
      </c>
      <c r="I6" s="17">
        <v>46204</v>
      </c>
      <c r="K6" t="s">
        <v>48</v>
      </c>
      <c r="L6" t="s">
        <v>101</v>
      </c>
    </row>
    <row r="7" spans="1:13" ht="14.25">
      <c r="A7" t="s">
        <v>970</v>
      </c>
      <c r="B7" t="s">
        <v>200</v>
      </c>
      <c r="C7" t="s">
        <v>86</v>
      </c>
      <c r="D7" t="s">
        <v>971</v>
      </c>
      <c r="E7" t="s">
        <v>972</v>
      </c>
      <c r="F7" t="s">
        <v>366</v>
      </c>
      <c r="G7" t="s">
        <v>973</v>
      </c>
      <c r="H7" t="s">
        <v>974</v>
      </c>
      <c r="I7" s="17">
        <v>46204</v>
      </c>
      <c r="K7" t="s">
        <v>48</v>
      </c>
      <c r="L7" t="s">
        <v>101</v>
      </c>
    </row>
    <row r="8" spans="1:13" ht="14.25">
      <c r="A8" t="s">
        <v>975</v>
      </c>
      <c r="B8" t="s">
        <v>200</v>
      </c>
      <c r="C8" t="s">
        <v>86</v>
      </c>
      <c r="D8" t="s">
        <v>976</v>
      </c>
      <c r="E8" t="s">
        <v>977</v>
      </c>
      <c r="F8" t="s">
        <v>366</v>
      </c>
      <c r="G8" t="s">
        <v>978</v>
      </c>
      <c r="H8" t="s">
        <v>979</v>
      </c>
      <c r="I8" s="17">
        <v>46204</v>
      </c>
      <c r="K8" t="s">
        <v>48</v>
      </c>
      <c r="L8" t="s">
        <v>101</v>
      </c>
    </row>
    <row r="9" spans="1:13" ht="14.25">
      <c r="A9" t="s">
        <v>980</v>
      </c>
      <c r="B9" t="s">
        <v>249</v>
      </c>
      <c r="C9" t="s">
        <v>86</v>
      </c>
      <c r="D9" t="s">
        <v>981</v>
      </c>
      <c r="E9" t="s">
        <v>982</v>
      </c>
      <c r="F9" t="s">
        <v>366</v>
      </c>
      <c r="G9" t="s">
        <v>418</v>
      </c>
      <c r="H9" t="s">
        <v>983</v>
      </c>
      <c r="I9" s="17">
        <v>46204</v>
      </c>
      <c r="K9" t="s">
        <v>48</v>
      </c>
      <c r="L9" t="s">
        <v>90</v>
      </c>
    </row>
    <row r="10" spans="1:13" ht="14.25">
      <c r="A10" t="s">
        <v>984</v>
      </c>
      <c r="B10" t="s">
        <v>249</v>
      </c>
      <c r="C10" t="s">
        <v>86</v>
      </c>
      <c r="D10" t="s">
        <v>985</v>
      </c>
      <c r="E10" t="s">
        <v>986</v>
      </c>
      <c r="F10" t="s">
        <v>366</v>
      </c>
      <c r="G10" t="s">
        <v>987</v>
      </c>
      <c r="H10" t="s">
        <v>988</v>
      </c>
      <c r="I10" s="17">
        <v>46204</v>
      </c>
      <c r="K10" t="s">
        <v>48</v>
      </c>
      <c r="L10" t="s">
        <v>90</v>
      </c>
    </row>
    <row r="11" spans="1:13" ht="14.25">
      <c r="A11" t="s">
        <v>989</v>
      </c>
      <c r="B11" t="s">
        <v>249</v>
      </c>
      <c r="C11" t="s">
        <v>86</v>
      </c>
      <c r="D11" t="s">
        <v>990</v>
      </c>
      <c r="E11" t="s">
        <v>991</v>
      </c>
      <c r="F11" t="s">
        <v>366</v>
      </c>
      <c r="G11" t="s">
        <v>992</v>
      </c>
      <c r="H11" t="s">
        <v>993</v>
      </c>
      <c r="I11" s="17">
        <v>46204</v>
      </c>
      <c r="K11" t="s">
        <v>48</v>
      </c>
      <c r="L11" t="s">
        <v>90</v>
      </c>
    </row>
    <row r="12" spans="1:13" ht="14.25">
      <c r="A12" t="s">
        <v>994</v>
      </c>
      <c r="B12" t="s">
        <v>435</v>
      </c>
      <c r="C12" t="s">
        <v>86</v>
      </c>
      <c r="D12" t="s">
        <v>995</v>
      </c>
      <c r="E12" t="s">
        <v>996</v>
      </c>
      <c r="F12" t="s">
        <v>366</v>
      </c>
      <c r="G12" t="s">
        <v>997</v>
      </c>
      <c r="H12" t="s">
        <v>995</v>
      </c>
      <c r="I12" s="17">
        <v>46204</v>
      </c>
      <c r="K12" t="s">
        <v>48</v>
      </c>
      <c r="L12" t="s">
        <v>121</v>
      </c>
      <c r="M12" t="s">
        <v>998</v>
      </c>
    </row>
    <row r="13" spans="1:13" ht="14.25">
      <c r="A13" t="s">
        <v>999</v>
      </c>
      <c r="B13" t="s">
        <v>435</v>
      </c>
      <c r="C13" t="s">
        <v>86</v>
      </c>
      <c r="D13" t="s">
        <v>286</v>
      </c>
      <c r="E13" t="s">
        <v>996</v>
      </c>
      <c r="F13" t="s">
        <v>366</v>
      </c>
      <c r="G13" t="s">
        <v>1000</v>
      </c>
      <c r="H13" t="s">
        <v>286</v>
      </c>
      <c r="I13" s="17">
        <v>46204</v>
      </c>
      <c r="K13" t="s">
        <v>48</v>
      </c>
      <c r="L13" t="s">
        <v>121</v>
      </c>
    </row>
    <row r="14" spans="1:13" ht="14.25">
      <c r="A14" t="s">
        <v>1001</v>
      </c>
      <c r="B14" t="s">
        <v>471</v>
      </c>
      <c r="C14" t="s">
        <v>86</v>
      </c>
      <c r="D14" t="s">
        <v>1002</v>
      </c>
      <c r="E14" t="s">
        <v>56</v>
      </c>
      <c r="F14" t="s">
        <v>366</v>
      </c>
      <c r="G14" t="s">
        <v>56</v>
      </c>
      <c r="H14" t="s">
        <v>1003</v>
      </c>
      <c r="I14" s="17">
        <v>46204</v>
      </c>
      <c r="K14" t="s">
        <v>48</v>
      </c>
      <c r="L14" t="s">
        <v>90</v>
      </c>
    </row>
    <row r="15" spans="1:13" ht="14.25">
      <c r="A15" t="s">
        <v>1004</v>
      </c>
      <c r="B15" t="s">
        <v>471</v>
      </c>
      <c r="C15" t="s">
        <v>86</v>
      </c>
      <c r="D15" t="s">
        <v>1005</v>
      </c>
      <c r="E15" t="s">
        <v>522</v>
      </c>
      <c r="F15" t="s">
        <v>366</v>
      </c>
      <c r="G15" t="s">
        <v>1006</v>
      </c>
      <c r="H15" t="s">
        <v>1007</v>
      </c>
      <c r="I15" s="17">
        <v>46204</v>
      </c>
      <c r="K15" t="s">
        <v>48</v>
      </c>
      <c r="L15" t="s">
        <v>90</v>
      </c>
    </row>
    <row r="16" spans="1:13" ht="14.25">
      <c r="A16" t="s">
        <v>1008</v>
      </c>
      <c r="B16" t="s">
        <v>307</v>
      </c>
      <c r="C16" t="s">
        <v>86</v>
      </c>
      <c r="D16" t="s">
        <v>310</v>
      </c>
      <c r="E16" t="s">
        <v>1009</v>
      </c>
      <c r="F16" t="s">
        <v>366</v>
      </c>
      <c r="G16" t="s">
        <v>310</v>
      </c>
      <c r="H16" t="s">
        <v>1010</v>
      </c>
      <c r="I16" s="17">
        <v>46204</v>
      </c>
      <c r="K16" t="s">
        <v>48</v>
      </c>
      <c r="L16" t="s">
        <v>101</v>
      </c>
    </row>
    <row r="17" spans="1:13" ht="14.25">
      <c r="A17" t="s">
        <v>1011</v>
      </c>
      <c r="B17" t="s">
        <v>307</v>
      </c>
      <c r="C17" t="s">
        <v>86</v>
      </c>
      <c r="D17" t="s">
        <v>1012</v>
      </c>
      <c r="E17" t="s">
        <v>1013</v>
      </c>
      <c r="F17" t="s">
        <v>366</v>
      </c>
      <c r="G17" t="s">
        <v>1014</v>
      </c>
      <c r="H17" t="s">
        <v>1015</v>
      </c>
      <c r="I17" s="17">
        <v>46204</v>
      </c>
      <c r="K17" t="s">
        <v>544</v>
      </c>
      <c r="L17" t="s">
        <v>101</v>
      </c>
      <c r="M17" t="s">
        <v>1016</v>
      </c>
    </row>
    <row r="18" spans="1:13">
      <c r="A18" s="3"/>
      <c r="B18" s="3"/>
      <c r="C18" s="3"/>
      <c r="D18" s="3"/>
      <c r="E18" s="3"/>
      <c r="F18" s="3"/>
      <c r="G18" s="3"/>
      <c r="H18" s="3"/>
      <c r="I18" s="8"/>
      <c r="J18" s="8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8"/>
      <c r="J19" s="8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8"/>
      <c r="J20" s="8"/>
      <c r="K20" s="3"/>
      <c r="L20" s="3"/>
      <c r="M20" s="3"/>
    </row>
    <row r="21" spans="1:13">
      <c r="A21" s="3"/>
      <c r="B21" s="3"/>
      <c r="C21" s="3"/>
      <c r="D21" s="3"/>
      <c r="E21" s="3"/>
      <c r="F21" s="3"/>
      <c r="G21" s="3"/>
      <c r="H21" s="3"/>
      <c r="I21" s="8"/>
      <c r="J21" s="8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8"/>
      <c r="J22" s="8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8"/>
      <c r="J23" s="8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8"/>
      <c r="J24" s="8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8"/>
      <c r="J25" s="8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8"/>
      <c r="J26" s="8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8"/>
      <c r="J27" s="8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8"/>
      <c r="J28" s="8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8"/>
      <c r="J29" s="8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8"/>
      <c r="J30" s="8"/>
      <c r="K30" s="3"/>
      <c r="L30" s="3"/>
      <c r="M30" s="3"/>
    </row>
    <row r="31" spans="1:13">
      <c r="A31" s="3"/>
      <c r="B31" s="3"/>
      <c r="C31" s="3"/>
      <c r="D31" s="3"/>
      <c r="E31" s="3"/>
      <c r="F31" s="3"/>
      <c r="G31" s="3"/>
      <c r="H31" s="3"/>
      <c r="I31" s="8"/>
      <c r="J31" s="8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8"/>
      <c r="J32" s="8"/>
      <c r="K32" s="3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8"/>
      <c r="J33" s="8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8"/>
      <c r="J34" s="8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8"/>
      <c r="J35" s="8"/>
      <c r="K35" s="3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8"/>
      <c r="J36" s="8"/>
      <c r="K36" s="3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8"/>
      <c r="J37" s="8"/>
      <c r="K37" s="3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3"/>
      <c r="I38" s="8"/>
      <c r="J38" s="8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8"/>
      <c r="J39" s="8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8"/>
      <c r="J40" s="8"/>
      <c r="K40" s="3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8"/>
      <c r="J41" s="8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8"/>
      <c r="J42" s="8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8"/>
      <c r="J43" s="8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8"/>
      <c r="J44" s="8"/>
      <c r="K44" s="3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8"/>
      <c r="J45" s="8"/>
      <c r="K45" s="3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3"/>
      <c r="I46" s="8"/>
      <c r="J46" s="8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8"/>
      <c r="J47" s="8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8"/>
      <c r="J48" s="8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8"/>
      <c r="J49" s="8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8"/>
      <c r="J50" s="8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8"/>
      <c r="J51" s="8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8"/>
      <c r="J52" s="8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8"/>
      <c r="J53" s="8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8"/>
      <c r="J54" s="8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8"/>
      <c r="J55" s="8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8"/>
      <c r="J56" s="8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8"/>
      <c r="J57" s="8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8"/>
      <c r="J58" s="8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8"/>
      <c r="J59" s="8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8"/>
      <c r="J60" s="8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8"/>
      <c r="J61" s="8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8"/>
      <c r="J62" s="8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8"/>
      <c r="J63" s="8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8"/>
      <c r="J64" s="8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8"/>
      <c r="J65" s="8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8"/>
      <c r="J66" s="8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8"/>
      <c r="J67" s="8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8"/>
      <c r="J68" s="8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8"/>
      <c r="J69" s="8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8"/>
      <c r="J70" s="8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8"/>
      <c r="J71" s="8"/>
      <c r="K71" s="3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8"/>
      <c r="J72" s="8"/>
      <c r="K72" s="3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8"/>
      <c r="J73" s="8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8"/>
      <c r="J74" s="8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8"/>
      <c r="J75" s="8"/>
      <c r="K75" s="3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8"/>
      <c r="J76" s="8"/>
      <c r="K76" s="3"/>
      <c r="L76" s="3"/>
      <c r="M76" s="3"/>
    </row>
    <row r="77" spans="1:13">
      <c r="A77" s="3"/>
      <c r="B77" s="3"/>
      <c r="C77" s="3"/>
      <c r="D77" s="3"/>
      <c r="E77" s="3"/>
      <c r="F77" s="3"/>
      <c r="G77" s="3"/>
      <c r="H77" s="3"/>
      <c r="I77" s="8"/>
      <c r="J77" s="8"/>
      <c r="K77" s="3"/>
      <c r="L77" s="3"/>
      <c r="M77" s="3"/>
    </row>
    <row r="78" spans="1:13">
      <c r="A78" s="3"/>
      <c r="B78" s="3"/>
      <c r="C78" s="3"/>
      <c r="D78" s="3"/>
      <c r="E78" s="3"/>
      <c r="F78" s="3"/>
      <c r="G78" s="3"/>
      <c r="H78" s="3"/>
      <c r="I78" s="8"/>
      <c r="J78" s="8"/>
      <c r="K78" s="3"/>
      <c r="L78" s="3"/>
      <c r="M78" s="3"/>
    </row>
    <row r="79" spans="1:13">
      <c r="A79" s="3"/>
      <c r="B79" s="3"/>
      <c r="C79" s="3"/>
      <c r="D79" s="3"/>
      <c r="E79" s="3"/>
      <c r="F79" s="3"/>
      <c r="G79" s="3"/>
      <c r="H79" s="3"/>
      <c r="I79" s="8"/>
      <c r="J79" s="8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8"/>
      <c r="J80" s="8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8"/>
      <c r="J81" s="8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8"/>
      <c r="J82" s="8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8"/>
      <c r="J83" s="8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8"/>
      <c r="J84" s="8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8"/>
      <c r="J85" s="8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8"/>
      <c r="J86" s="8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8"/>
      <c r="J87" s="8"/>
      <c r="K87" s="3"/>
      <c r="L87" s="3"/>
      <c r="M87" s="3"/>
    </row>
    <row r="88" spans="1:13">
      <c r="I88" s="9"/>
      <c r="J88" s="9"/>
    </row>
    <row r="89" spans="1:13">
      <c r="I89" s="9"/>
      <c r="J89" s="9"/>
    </row>
    <row r="90" spans="1:13">
      <c r="I90" s="9"/>
      <c r="J90" s="9"/>
    </row>
    <row r="91" spans="1:13">
      <c r="I91" s="9"/>
      <c r="J91" s="9"/>
    </row>
    <row r="92" spans="1:13">
      <c r="I92" s="9"/>
      <c r="J92" s="9"/>
    </row>
    <row r="93" spans="1:13">
      <c r="I93" s="9"/>
      <c r="J93" s="9"/>
    </row>
    <row r="94" spans="1:13">
      <c r="I94" s="9"/>
      <c r="J94" s="9"/>
    </row>
    <row r="95" spans="1:13">
      <c r="I95" s="9"/>
      <c r="J95" s="9"/>
    </row>
    <row r="96" spans="1:13">
      <c r="I96" s="9"/>
      <c r="J96" s="9"/>
    </row>
    <row r="97" spans="9:10">
      <c r="I97" s="9"/>
      <c r="J97" s="9"/>
    </row>
    <row r="98" spans="9:10">
      <c r="I98" s="9"/>
      <c r="J98" s="9"/>
    </row>
    <row r="99" spans="9:10">
      <c r="I99" s="9"/>
      <c r="J99" s="9"/>
    </row>
    <row r="100" spans="9:10">
      <c r="I100" s="9"/>
      <c r="J100" s="9"/>
    </row>
    <row r="101" spans="9:10">
      <c r="I101" s="9"/>
      <c r="J101" s="9"/>
    </row>
    <row r="102" spans="9:10">
      <c r="I102" s="9"/>
      <c r="J102" s="9"/>
    </row>
    <row r="103" spans="9:10">
      <c r="I103" s="9"/>
      <c r="J103" s="9"/>
    </row>
    <row r="104" spans="9:10">
      <c r="I104" s="9"/>
      <c r="J104" s="9"/>
    </row>
    <row r="105" spans="9:10">
      <c r="I105" s="9"/>
      <c r="J105" s="9"/>
    </row>
    <row r="106" spans="9:10">
      <c r="I106" s="9"/>
      <c r="J106" s="9"/>
    </row>
    <row r="107" spans="9:10">
      <c r="I107" s="9"/>
      <c r="J107" s="9"/>
    </row>
    <row r="108" spans="9:10">
      <c r="I108" s="9"/>
      <c r="J108" s="9"/>
    </row>
    <row r="109" spans="9:10">
      <c r="I109" s="9"/>
      <c r="J109" s="9"/>
    </row>
    <row r="110" spans="9:10">
      <c r="I110" s="9"/>
      <c r="J110" s="9"/>
    </row>
    <row r="111" spans="9:10">
      <c r="I111" s="9"/>
      <c r="J111" s="9"/>
    </row>
    <row r="112" spans="9:10">
      <c r="I112" s="9"/>
      <c r="J112" s="9"/>
    </row>
    <row r="113" spans="9:10">
      <c r="I113" s="9"/>
      <c r="J113" s="9"/>
    </row>
    <row r="114" spans="9:10">
      <c r="I114" s="9"/>
      <c r="J114" s="9"/>
    </row>
    <row r="115" spans="9:10">
      <c r="I115" s="9"/>
      <c r="J115" s="9"/>
    </row>
    <row r="116" spans="9:10">
      <c r="I116" s="9"/>
      <c r="J116" s="9"/>
    </row>
    <row r="117" spans="9:10">
      <c r="I117" s="9"/>
      <c r="J117" s="9"/>
    </row>
    <row r="118" spans="9:10">
      <c r="I118" s="9"/>
      <c r="J118" s="9"/>
    </row>
    <row r="119" spans="9:10">
      <c r="I119" s="9"/>
      <c r="J119" s="9"/>
    </row>
    <row r="120" spans="9:10">
      <c r="I120" s="9"/>
      <c r="J120" s="9"/>
    </row>
    <row r="121" spans="9:10">
      <c r="I121" s="9"/>
      <c r="J121" s="9"/>
    </row>
    <row r="122" spans="9:10">
      <c r="I122" s="9"/>
      <c r="J122" s="9"/>
    </row>
    <row r="123" spans="9:10">
      <c r="I123" s="9"/>
      <c r="J123" s="9"/>
    </row>
    <row r="124" spans="9:10">
      <c r="I124" s="9"/>
      <c r="J124" s="9"/>
    </row>
    <row r="125" spans="9:10">
      <c r="I125" s="9"/>
      <c r="J125" s="9"/>
    </row>
    <row r="126" spans="9:10">
      <c r="I126" s="9"/>
      <c r="J126" s="9"/>
    </row>
    <row r="127" spans="9:10">
      <c r="I127" s="9"/>
      <c r="J127" s="9"/>
    </row>
    <row r="128" spans="9:10">
      <c r="I128" s="9"/>
      <c r="J128" s="9"/>
    </row>
    <row r="129" spans="9:10">
      <c r="I129" s="9"/>
      <c r="J129" s="9"/>
    </row>
    <row r="130" spans="9:10">
      <c r="I130" s="9"/>
      <c r="J130" s="9"/>
    </row>
    <row r="131" spans="9:10">
      <c r="I131" s="9"/>
      <c r="J131" s="9"/>
    </row>
    <row r="132" spans="9:10">
      <c r="I132" s="9"/>
      <c r="J132" s="9"/>
    </row>
    <row r="133" spans="9:10">
      <c r="I133" s="9"/>
      <c r="J133" s="9"/>
    </row>
    <row r="134" spans="9:10">
      <c r="I134" s="9"/>
      <c r="J134" s="9"/>
    </row>
    <row r="135" spans="9:10">
      <c r="I135" s="9"/>
      <c r="J135" s="9"/>
    </row>
    <row r="136" spans="9:10">
      <c r="I136" s="9"/>
      <c r="J136" s="9"/>
    </row>
    <row r="137" spans="9:10">
      <c r="I137" s="9"/>
      <c r="J137" s="9"/>
    </row>
    <row r="138" spans="9:10">
      <c r="I138" s="9"/>
      <c r="J138" s="9"/>
    </row>
    <row r="139" spans="9:10">
      <c r="I139" s="9"/>
      <c r="J139" s="9"/>
    </row>
    <row r="140" spans="9:10">
      <c r="I140" s="9"/>
      <c r="J140" s="9"/>
    </row>
    <row r="141" spans="9:10">
      <c r="I141" s="9"/>
      <c r="J141" s="9"/>
    </row>
    <row r="142" spans="9:10">
      <c r="I142" s="9"/>
      <c r="J142" s="9"/>
    </row>
    <row r="143" spans="9:10">
      <c r="I143" s="9"/>
      <c r="J143" s="9"/>
    </row>
    <row r="144" spans="9:10">
      <c r="I144" s="9"/>
      <c r="J144" s="9"/>
    </row>
    <row r="145" spans="9:10">
      <c r="I145" s="9"/>
      <c r="J145" s="9"/>
    </row>
    <row r="146" spans="9:10">
      <c r="I146" s="9"/>
      <c r="J146" s="9"/>
    </row>
    <row r="147" spans="9:10">
      <c r="I147" s="9"/>
      <c r="J147" s="9"/>
    </row>
    <row r="148" spans="9:10">
      <c r="I148" s="9"/>
      <c r="J148" s="9"/>
    </row>
    <row r="149" spans="9:10">
      <c r="I149" s="9"/>
      <c r="J149" s="9"/>
    </row>
    <row r="150" spans="9:10">
      <c r="I150" s="9"/>
      <c r="J150" s="9"/>
    </row>
  </sheetData>
  <mergeCells count="2">
    <mergeCell ref="A1:M1"/>
    <mergeCell ref="A2:M2"/>
  </mergeCells>
  <dataValidations count="1">
    <dataValidation type="list" sqref="K18:K87" xr:uid="{00000000-0002-0000-0900-000000000000}">
      <formula1>"Draft,In Review,Approved,Rejected,Deferred"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"/>
  <sheetViews>
    <sheetView zoomScaleNormal="100" zoomScaleSheetLayoutView="100" workbookViewId="0">
      <selection activeCell="A5" sqref="A5:XFD5"/>
    </sheetView>
  </sheetViews>
  <sheetFormatPr defaultRowHeight="15"/>
  <cols>
    <col min="1" max="1" width="14" customWidth="1"/>
    <col min="2" max="2" width="30" customWidth="1"/>
    <col min="3" max="3" width="22" customWidth="1"/>
    <col min="4" max="4" width="18" customWidth="1"/>
    <col min="5" max="5" width="30" customWidth="1"/>
    <col min="6" max="6" width="52" customWidth="1"/>
    <col min="7" max="7" width="14" customWidth="1"/>
    <col min="8" max="8" width="34" customWidth="1"/>
    <col min="9" max="9" width="42" customWidth="1"/>
    <col min="10" max="10" width="24" customWidth="1"/>
    <col min="11" max="11" width="18" customWidth="1"/>
    <col min="12" max="12" width="16" customWidth="1"/>
    <col min="13" max="13" width="36" customWidth="1"/>
  </cols>
  <sheetData>
    <row r="1" spans="1:13" ht="30" customHeight="1">
      <c r="A1" s="18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4" customHeight="1">
      <c r="A2" s="19" t="s">
        <v>1017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spans="1:13" ht="33.950000000000003" customHeight="1">
      <c r="A4" s="2" t="s">
        <v>592</v>
      </c>
      <c r="B4" s="2" t="s">
        <v>838</v>
      </c>
      <c r="C4" s="2" t="s">
        <v>839</v>
      </c>
      <c r="D4" s="2" t="s">
        <v>46</v>
      </c>
      <c r="E4" s="2" t="s">
        <v>1018</v>
      </c>
      <c r="F4" s="2" t="s">
        <v>1019</v>
      </c>
      <c r="G4" s="2" t="s">
        <v>1020</v>
      </c>
      <c r="H4" s="2" t="s">
        <v>1021</v>
      </c>
      <c r="I4" s="2" t="s">
        <v>1022</v>
      </c>
      <c r="J4" s="2" t="s">
        <v>845</v>
      </c>
      <c r="K4" s="2" t="s">
        <v>78</v>
      </c>
      <c r="L4" s="2" t="s">
        <v>594</v>
      </c>
      <c r="M4" s="2" t="s">
        <v>84</v>
      </c>
    </row>
    <row r="5" spans="1:13" ht="0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ht="14.25">
      <c r="A6" t="s">
        <v>599</v>
      </c>
      <c r="B6" t="s">
        <v>1023</v>
      </c>
      <c r="C6" t="s">
        <v>1024</v>
      </c>
      <c r="D6" t="s">
        <v>53</v>
      </c>
      <c r="E6" t="s">
        <v>1025</v>
      </c>
      <c r="F6" t="s">
        <v>1026</v>
      </c>
      <c r="G6" t="s">
        <v>1027</v>
      </c>
      <c r="H6" t="s">
        <v>1028</v>
      </c>
      <c r="I6" t="s">
        <v>1029</v>
      </c>
      <c r="J6" t="s">
        <v>669</v>
      </c>
      <c r="K6" t="s">
        <v>90</v>
      </c>
      <c r="L6" t="s">
        <v>48</v>
      </c>
      <c r="M6" t="s">
        <v>1030</v>
      </c>
    </row>
    <row r="7" spans="1:13" ht="14.25">
      <c r="A7" t="s">
        <v>604</v>
      </c>
      <c r="B7" t="s">
        <v>1031</v>
      </c>
      <c r="C7" t="s">
        <v>1032</v>
      </c>
      <c r="D7" t="s">
        <v>53</v>
      </c>
      <c r="E7" t="s">
        <v>1033</v>
      </c>
      <c r="F7" t="s">
        <v>1034</v>
      </c>
      <c r="G7" t="s">
        <v>1027</v>
      </c>
      <c r="H7" t="s">
        <v>1035</v>
      </c>
      <c r="I7" t="s">
        <v>1036</v>
      </c>
      <c r="J7" t="s">
        <v>674</v>
      </c>
      <c r="K7" t="s">
        <v>131</v>
      </c>
      <c r="L7" t="s">
        <v>48</v>
      </c>
      <c r="M7" t="s">
        <v>1037</v>
      </c>
    </row>
    <row r="8" spans="1:13" ht="14.25">
      <c r="A8" t="s">
        <v>609</v>
      </c>
      <c r="B8" t="s">
        <v>1038</v>
      </c>
      <c r="C8" t="s">
        <v>1039</v>
      </c>
      <c r="D8" t="s">
        <v>62</v>
      </c>
      <c r="E8" t="s">
        <v>849</v>
      </c>
      <c r="F8" t="s">
        <v>1040</v>
      </c>
      <c r="G8" t="s">
        <v>1027</v>
      </c>
      <c r="H8" t="s">
        <v>1041</v>
      </c>
      <c r="I8" t="s">
        <v>1042</v>
      </c>
      <c r="J8" t="s">
        <v>677</v>
      </c>
      <c r="K8" t="s">
        <v>101</v>
      </c>
      <c r="L8" t="s">
        <v>48</v>
      </c>
    </row>
    <row r="9" spans="1:13" ht="14.25">
      <c r="A9" t="s">
        <v>614</v>
      </c>
      <c r="B9" t="s">
        <v>1043</v>
      </c>
      <c r="C9" t="s">
        <v>1044</v>
      </c>
      <c r="D9" t="s">
        <v>516</v>
      </c>
      <c r="E9" t="s">
        <v>866</v>
      </c>
      <c r="F9" t="s">
        <v>1045</v>
      </c>
      <c r="G9" t="s">
        <v>1027</v>
      </c>
      <c r="H9" t="s">
        <v>1046</v>
      </c>
      <c r="I9" t="s">
        <v>1047</v>
      </c>
      <c r="J9" t="s">
        <v>685</v>
      </c>
      <c r="K9" t="s">
        <v>90</v>
      </c>
      <c r="L9" t="s">
        <v>48</v>
      </c>
    </row>
    <row r="10" spans="1:13" ht="14.25">
      <c r="A10" t="s">
        <v>619</v>
      </c>
      <c r="B10" t="s">
        <v>1048</v>
      </c>
      <c r="C10" t="s">
        <v>1024</v>
      </c>
      <c r="D10" t="s">
        <v>516</v>
      </c>
      <c r="E10" t="s">
        <v>855</v>
      </c>
      <c r="F10" t="s">
        <v>1049</v>
      </c>
      <c r="G10" t="s">
        <v>1050</v>
      </c>
      <c r="H10" t="s">
        <v>1051</v>
      </c>
      <c r="I10" t="s">
        <v>1052</v>
      </c>
      <c r="J10" t="s">
        <v>690</v>
      </c>
      <c r="K10" t="s">
        <v>90</v>
      </c>
      <c r="L10" t="s">
        <v>48</v>
      </c>
    </row>
    <row r="11" spans="1:13" ht="14.25">
      <c r="A11" t="s">
        <v>624</v>
      </c>
      <c r="B11" t="s">
        <v>1053</v>
      </c>
      <c r="C11" t="s">
        <v>1024</v>
      </c>
      <c r="D11" t="s">
        <v>516</v>
      </c>
      <c r="E11" t="s">
        <v>861</v>
      </c>
      <c r="F11" t="s">
        <v>1054</v>
      </c>
      <c r="G11" t="s">
        <v>1050</v>
      </c>
      <c r="H11" t="s">
        <v>1051</v>
      </c>
      <c r="I11" t="s">
        <v>1052</v>
      </c>
      <c r="J11" t="s">
        <v>695</v>
      </c>
      <c r="K11" t="s">
        <v>90</v>
      </c>
      <c r="L11" t="s">
        <v>48</v>
      </c>
    </row>
    <row r="12" spans="1:13" ht="14.25">
      <c r="A12" t="s">
        <v>629</v>
      </c>
      <c r="B12" t="s">
        <v>1055</v>
      </c>
      <c r="C12" t="s">
        <v>1056</v>
      </c>
      <c r="D12" t="s">
        <v>516</v>
      </c>
      <c r="E12" t="s">
        <v>885</v>
      </c>
      <c r="F12" t="s">
        <v>1057</v>
      </c>
      <c r="G12" t="s">
        <v>1027</v>
      </c>
      <c r="H12" t="s">
        <v>1058</v>
      </c>
      <c r="I12" t="s">
        <v>1059</v>
      </c>
      <c r="J12" t="s">
        <v>700</v>
      </c>
      <c r="K12" t="s">
        <v>90</v>
      </c>
      <c r="L12" t="s">
        <v>503</v>
      </c>
    </row>
    <row r="13" spans="1:13" ht="14.25">
      <c r="A13" t="s">
        <v>635</v>
      </c>
      <c r="B13" t="s">
        <v>1060</v>
      </c>
      <c r="C13" t="s">
        <v>1056</v>
      </c>
      <c r="D13" t="s">
        <v>516</v>
      </c>
      <c r="E13" t="s">
        <v>871</v>
      </c>
      <c r="F13" t="s">
        <v>1061</v>
      </c>
      <c r="G13" t="s">
        <v>1050</v>
      </c>
      <c r="H13" t="s">
        <v>408</v>
      </c>
      <c r="I13" t="s">
        <v>1062</v>
      </c>
      <c r="J13" t="s">
        <v>707</v>
      </c>
      <c r="K13" t="s">
        <v>90</v>
      </c>
      <c r="L13" t="s">
        <v>544</v>
      </c>
    </row>
    <row r="14" spans="1:13" ht="14.25">
      <c r="A14" t="s">
        <v>640</v>
      </c>
      <c r="B14" t="s">
        <v>1063</v>
      </c>
      <c r="C14" t="s">
        <v>1056</v>
      </c>
      <c r="D14" t="s">
        <v>516</v>
      </c>
      <c r="E14" t="s">
        <v>878</v>
      </c>
      <c r="F14" t="s">
        <v>1064</v>
      </c>
      <c r="G14" t="s">
        <v>1050</v>
      </c>
      <c r="H14" t="s">
        <v>1065</v>
      </c>
      <c r="I14" t="s">
        <v>1066</v>
      </c>
      <c r="J14" t="s">
        <v>714</v>
      </c>
      <c r="K14" t="s">
        <v>90</v>
      </c>
      <c r="L14" t="s">
        <v>48</v>
      </c>
    </row>
    <row r="15" spans="1:13" ht="14.25">
      <c r="A15" t="s">
        <v>645</v>
      </c>
      <c r="B15" t="s">
        <v>1067</v>
      </c>
      <c r="C15" t="s">
        <v>1039</v>
      </c>
      <c r="D15" t="s">
        <v>53</v>
      </c>
      <c r="E15" t="s">
        <v>892</v>
      </c>
      <c r="F15" t="s">
        <v>1068</v>
      </c>
      <c r="G15" t="s">
        <v>1027</v>
      </c>
      <c r="H15" t="s">
        <v>1069</v>
      </c>
      <c r="I15" t="s">
        <v>1070</v>
      </c>
      <c r="J15" t="s">
        <v>719</v>
      </c>
      <c r="K15" t="s">
        <v>90</v>
      </c>
      <c r="L15" t="s">
        <v>48</v>
      </c>
    </row>
    <row r="16" spans="1:13" ht="14.25">
      <c r="A16" t="s">
        <v>650</v>
      </c>
      <c r="B16" t="s">
        <v>1071</v>
      </c>
      <c r="C16" t="s">
        <v>1032</v>
      </c>
      <c r="D16" t="s">
        <v>53</v>
      </c>
      <c r="E16" t="s">
        <v>899</v>
      </c>
      <c r="F16" t="s">
        <v>1072</v>
      </c>
      <c r="G16" t="s">
        <v>1050</v>
      </c>
      <c r="H16" t="s">
        <v>1073</v>
      </c>
      <c r="I16" t="s">
        <v>1074</v>
      </c>
      <c r="J16" t="s">
        <v>725</v>
      </c>
      <c r="K16" t="s">
        <v>131</v>
      </c>
      <c r="L16" t="s">
        <v>48</v>
      </c>
    </row>
    <row r="17" spans="1:13" ht="14.25">
      <c r="A17" t="s">
        <v>655</v>
      </c>
      <c r="B17" t="s">
        <v>1075</v>
      </c>
      <c r="C17" t="s">
        <v>1032</v>
      </c>
      <c r="D17" t="s">
        <v>65</v>
      </c>
      <c r="E17" t="s">
        <v>906</v>
      </c>
      <c r="F17" t="s">
        <v>1076</v>
      </c>
      <c r="G17" t="s">
        <v>1050</v>
      </c>
      <c r="H17" t="s">
        <v>1077</v>
      </c>
      <c r="I17" t="s">
        <v>1036</v>
      </c>
      <c r="J17" t="s">
        <v>730</v>
      </c>
      <c r="K17" t="s">
        <v>131</v>
      </c>
      <c r="L17" t="s">
        <v>48</v>
      </c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</sheetData>
  <mergeCells count="2">
    <mergeCell ref="A1:M1"/>
    <mergeCell ref="A2:M2"/>
  </mergeCells>
  <dataValidations count="4">
    <dataValidation type="list" sqref="C18:C87" xr:uid="{00000000-0002-0000-0A00-000000000000}">
      <formula1>"Required,Format,Range,Valid Value,Referential Integrity,Balance Check,Uniqueness,Lookup,Survivorship"</formula1>
    </dataValidation>
    <dataValidation type="list" sqref="D18:D87" xr:uid="{00000000-0002-0000-0A00-000001000000}">
      <formula1>"Loan,Borrower,Property,Payment,Escrow,Investor,Default,Compliance,Communication"</formula1>
    </dataValidation>
    <dataValidation type="list" sqref="G18:G87" xr:uid="{00000000-0002-0000-0A00-000002000000}">
      <formula1>"High,Medium,Low"</formula1>
    </dataValidation>
    <dataValidation type="list" sqref="L18:L87" xr:uid="{00000000-0002-0000-0A00-000003000000}">
      <formula1>"Draft,In Review,SME Approved,Tech Approved,Approved,Implemented,Tested,Deferred,Retired"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7"/>
  <sheetViews>
    <sheetView zoomScaleNormal="100" zoomScaleSheetLayoutView="100" workbookViewId="0">
      <selection activeCell="A5" sqref="A5:XFD5"/>
    </sheetView>
  </sheetViews>
  <sheetFormatPr defaultRowHeight="15"/>
  <cols>
    <col min="1" max="1" width="16" customWidth="1"/>
    <col min="2" max="2" width="32" customWidth="1"/>
    <col min="3" max="3" width="22" customWidth="1"/>
    <col min="4" max="4" width="18" customWidth="1"/>
    <col min="5" max="6" width="34" customWidth="1"/>
    <col min="7" max="7" width="56" customWidth="1"/>
    <col min="8" max="8" width="22" customWidth="1"/>
    <col min="9" max="9" width="18" customWidth="1"/>
    <col min="10" max="10" width="26" customWidth="1"/>
    <col min="11" max="11" width="18" customWidth="1"/>
    <col min="12" max="12" width="16" customWidth="1"/>
    <col min="13" max="13" width="24" customWidth="1"/>
    <col min="14" max="14" width="36" customWidth="1"/>
  </cols>
  <sheetData>
    <row r="1" spans="1:14" ht="30" customHeight="1">
      <c r="A1" s="18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4" customHeight="1">
      <c r="A2" s="19" t="s">
        <v>1078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ht="33.950000000000003" customHeight="1">
      <c r="A4" s="2" t="s">
        <v>1079</v>
      </c>
      <c r="B4" s="2" t="s">
        <v>838</v>
      </c>
      <c r="C4" s="2" t="s">
        <v>1080</v>
      </c>
      <c r="D4" s="2" t="s">
        <v>46</v>
      </c>
      <c r="E4" s="2" t="s">
        <v>1081</v>
      </c>
      <c r="F4" s="2" t="s">
        <v>1082</v>
      </c>
      <c r="G4" s="2" t="s">
        <v>1083</v>
      </c>
      <c r="H4" s="2" t="s">
        <v>1084</v>
      </c>
      <c r="I4" s="2" t="s">
        <v>1085</v>
      </c>
      <c r="J4" s="2" t="s">
        <v>1086</v>
      </c>
      <c r="K4" s="2" t="s">
        <v>78</v>
      </c>
      <c r="L4" s="2" t="s">
        <v>594</v>
      </c>
      <c r="M4" s="2" t="s">
        <v>845</v>
      </c>
      <c r="N4" s="2" t="s">
        <v>84</v>
      </c>
    </row>
    <row r="5" spans="1:14" hidden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3"/>
    </row>
    <row r="6" spans="1:14" ht="14.25">
      <c r="A6" t="s">
        <v>615</v>
      </c>
      <c r="B6" t="s">
        <v>1087</v>
      </c>
      <c r="C6" t="s">
        <v>1088</v>
      </c>
      <c r="D6" t="s">
        <v>516</v>
      </c>
      <c r="E6" t="s">
        <v>1089</v>
      </c>
      <c r="F6" t="s">
        <v>1090</v>
      </c>
      <c r="G6" t="s">
        <v>1091</v>
      </c>
      <c r="H6" t="s">
        <v>1092</v>
      </c>
      <c r="I6" t="s">
        <v>1093</v>
      </c>
      <c r="J6" t="s">
        <v>90</v>
      </c>
      <c r="K6" t="s">
        <v>48</v>
      </c>
      <c r="L6" t="s">
        <v>685</v>
      </c>
      <c r="N6" s="3"/>
    </row>
    <row r="7" spans="1:14" ht="14.25">
      <c r="A7" t="s">
        <v>620</v>
      </c>
      <c r="B7" t="s">
        <v>263</v>
      </c>
      <c r="C7" t="s">
        <v>1094</v>
      </c>
      <c r="D7" t="s">
        <v>65</v>
      </c>
      <c r="E7" t="s">
        <v>1095</v>
      </c>
      <c r="F7" t="s">
        <v>1095</v>
      </c>
      <c r="G7" t="s">
        <v>1096</v>
      </c>
      <c r="H7" t="s">
        <v>1097</v>
      </c>
      <c r="I7" t="s">
        <v>1098</v>
      </c>
      <c r="J7" t="s">
        <v>131</v>
      </c>
      <c r="K7" t="s">
        <v>48</v>
      </c>
      <c r="L7" t="s">
        <v>730</v>
      </c>
      <c r="N7" s="3"/>
    </row>
    <row r="8" spans="1:14" ht="14.25">
      <c r="A8" t="s">
        <v>625</v>
      </c>
      <c r="B8" t="s">
        <v>256</v>
      </c>
      <c r="C8" t="s">
        <v>1099</v>
      </c>
      <c r="D8" t="s">
        <v>53</v>
      </c>
      <c r="E8" t="s">
        <v>726</v>
      </c>
      <c r="F8" t="s">
        <v>726</v>
      </c>
      <c r="G8" t="s">
        <v>1100</v>
      </c>
      <c r="H8" t="s">
        <v>1101</v>
      </c>
      <c r="I8" t="s">
        <v>1098</v>
      </c>
      <c r="J8" t="s">
        <v>131</v>
      </c>
      <c r="K8" t="s">
        <v>48</v>
      </c>
      <c r="L8" t="s">
        <v>725</v>
      </c>
      <c r="N8" s="3"/>
    </row>
    <row r="9" spans="1:14" ht="14.25">
      <c r="A9" t="s">
        <v>630</v>
      </c>
      <c r="B9" t="s">
        <v>249</v>
      </c>
      <c r="C9" t="s">
        <v>44</v>
      </c>
      <c r="D9" t="s">
        <v>53</v>
      </c>
      <c r="E9" t="s">
        <v>720</v>
      </c>
      <c r="F9" t="s">
        <v>720</v>
      </c>
      <c r="G9" t="s">
        <v>1102</v>
      </c>
      <c r="H9" t="s">
        <v>1101</v>
      </c>
      <c r="I9" t="s">
        <v>1098</v>
      </c>
      <c r="J9" t="s">
        <v>90</v>
      </c>
      <c r="K9" t="s">
        <v>48</v>
      </c>
      <c r="L9" t="s">
        <v>719</v>
      </c>
      <c r="N9" s="3"/>
    </row>
    <row r="10" spans="1:14" ht="14.25">
      <c r="A10" t="s">
        <v>636</v>
      </c>
      <c r="B10" t="s">
        <v>269</v>
      </c>
      <c r="C10" t="s">
        <v>1099</v>
      </c>
      <c r="D10" t="s">
        <v>59</v>
      </c>
      <c r="E10" t="s">
        <v>736</v>
      </c>
      <c r="F10" t="s">
        <v>736</v>
      </c>
      <c r="G10" t="s">
        <v>1103</v>
      </c>
      <c r="H10" t="s">
        <v>1101</v>
      </c>
      <c r="I10" t="s">
        <v>1098</v>
      </c>
      <c r="J10" t="s">
        <v>121</v>
      </c>
      <c r="K10" t="s">
        <v>48</v>
      </c>
      <c r="L10" t="s">
        <v>735</v>
      </c>
      <c r="M10" t="s">
        <v>1104</v>
      </c>
      <c r="N10" s="3"/>
    </row>
    <row r="11" spans="1:14" ht="14.25">
      <c r="A11" t="s">
        <v>641</v>
      </c>
      <c r="B11" t="s">
        <v>297</v>
      </c>
      <c r="C11" t="s">
        <v>1099</v>
      </c>
      <c r="D11" t="s">
        <v>62</v>
      </c>
      <c r="E11" t="s">
        <v>743</v>
      </c>
      <c r="F11" t="s">
        <v>743</v>
      </c>
      <c r="G11" t="s">
        <v>1105</v>
      </c>
      <c r="H11" t="s">
        <v>1101</v>
      </c>
      <c r="I11" t="s">
        <v>1098</v>
      </c>
      <c r="J11" t="s">
        <v>101</v>
      </c>
      <c r="K11" t="s">
        <v>48</v>
      </c>
      <c r="L11" t="s">
        <v>742</v>
      </c>
      <c r="N11" s="3"/>
    </row>
    <row r="12" spans="1:14" ht="14.25">
      <c r="A12" t="s">
        <v>646</v>
      </c>
      <c r="B12" t="s">
        <v>352</v>
      </c>
      <c r="C12" t="s">
        <v>1099</v>
      </c>
      <c r="D12" t="s">
        <v>53</v>
      </c>
      <c r="E12" t="s">
        <v>1106</v>
      </c>
      <c r="F12" t="s">
        <v>1106</v>
      </c>
      <c r="G12" t="s">
        <v>1107</v>
      </c>
      <c r="H12" t="s">
        <v>1101</v>
      </c>
      <c r="I12" t="s">
        <v>1108</v>
      </c>
      <c r="J12" t="s">
        <v>90</v>
      </c>
      <c r="K12" t="s">
        <v>544</v>
      </c>
      <c r="L12" t="s">
        <v>752</v>
      </c>
      <c r="M12" t="s">
        <v>1109</v>
      </c>
      <c r="N12" s="3"/>
    </row>
    <row r="13" spans="1:1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</sheetData>
  <mergeCells count="2">
    <mergeCell ref="A1:N1"/>
    <mergeCell ref="A2:N2"/>
  </mergeCells>
  <dataValidations count="3">
    <dataValidation type="list" sqref="C13:C67" xr:uid="{00000000-0002-0000-0B00-000000000000}">
      <formula1>"Count,Balance,Transaction Count/Amount,Status Tie-Out,Referential Integrity,Sample Validation"</formula1>
    </dataValidation>
    <dataValidation type="list" sqref="D13:D67" xr:uid="{00000000-0002-0000-0B00-000001000000}">
      <formula1>"Loan,Borrower,Property,Payment,Escrow,Investor,Default,Compliance,Communication"</formula1>
    </dataValidation>
    <dataValidation type="list" sqref="L13:L67" xr:uid="{00000000-0002-0000-0B00-000002000000}">
      <formula1>"Draft,In Review,SME Approved,Tech Approved,Approved,Implemented,Tested,Deferred,Retired"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50"/>
  <sheetViews>
    <sheetView topLeftCell="H1" zoomScaleNormal="100" zoomScaleSheetLayoutView="100" workbookViewId="0">
      <selection activeCell="O29" sqref="O29"/>
    </sheetView>
  </sheetViews>
  <sheetFormatPr defaultRowHeight="15"/>
  <cols>
    <col min="1" max="2" width="14" customWidth="1"/>
    <col min="3" max="3" width="34" customWidth="1"/>
    <col min="4" max="4" width="52" customWidth="1"/>
    <col min="5" max="5" width="18" customWidth="1"/>
    <col min="6" max="6" width="14" customWidth="1"/>
    <col min="7" max="7" width="18" customWidth="1"/>
    <col min="8" max="9" width="16" customWidth="1"/>
    <col min="10" max="10" width="44" customWidth="1"/>
    <col min="11" max="11" width="48" customWidth="1"/>
    <col min="12" max="12" width="20" customWidth="1"/>
    <col min="13" max="13" width="16" customWidth="1"/>
    <col min="14" max="14" width="24" customWidth="1"/>
  </cols>
  <sheetData>
    <row r="1" spans="1:14" ht="30" customHeight="1">
      <c r="A1" s="18" t="s">
        <v>35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4" customHeight="1">
      <c r="A2" s="19" t="s">
        <v>1110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spans="1:14" ht="33.950000000000003" customHeight="1">
      <c r="A4" s="2" t="s">
        <v>1111</v>
      </c>
      <c r="B4" s="2" t="s">
        <v>1112</v>
      </c>
      <c r="C4" s="2" t="s">
        <v>1113</v>
      </c>
      <c r="D4" s="2" t="s">
        <v>840</v>
      </c>
      <c r="E4" s="2" t="s">
        <v>46</v>
      </c>
      <c r="F4" s="2" t="s">
        <v>1020</v>
      </c>
      <c r="G4" s="2" t="s">
        <v>78</v>
      </c>
      <c r="H4" s="2" t="s">
        <v>1114</v>
      </c>
      <c r="I4" s="2" t="s">
        <v>594</v>
      </c>
      <c r="J4" s="2" t="s">
        <v>1115</v>
      </c>
      <c r="K4" s="2" t="s">
        <v>1116</v>
      </c>
      <c r="L4" s="2" t="s">
        <v>1117</v>
      </c>
      <c r="M4" s="2" t="s">
        <v>1118</v>
      </c>
      <c r="N4" s="2" t="s">
        <v>845</v>
      </c>
    </row>
    <row r="5" spans="1:14" ht="0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ht="14.25">
      <c r="A6" t="s">
        <v>683</v>
      </c>
      <c r="B6" t="s">
        <v>1119</v>
      </c>
      <c r="C6" t="s">
        <v>1120</v>
      </c>
      <c r="D6" t="s">
        <v>1121</v>
      </c>
      <c r="E6" t="s">
        <v>62</v>
      </c>
      <c r="F6" t="s">
        <v>1027</v>
      </c>
      <c r="G6" t="s">
        <v>101</v>
      </c>
      <c r="H6" s="17">
        <v>46213</v>
      </c>
      <c r="I6" t="s">
        <v>51</v>
      </c>
      <c r="J6" t="s">
        <v>1122</v>
      </c>
      <c r="K6" t="s">
        <v>1123</v>
      </c>
      <c r="N6" t="s">
        <v>677</v>
      </c>
    </row>
    <row r="7" spans="1:14" ht="14.25">
      <c r="A7" t="s">
        <v>1124</v>
      </c>
      <c r="B7" t="s">
        <v>1125</v>
      </c>
      <c r="C7" t="s">
        <v>1126</v>
      </c>
      <c r="D7" t="s">
        <v>1127</v>
      </c>
      <c r="E7" t="s">
        <v>62</v>
      </c>
      <c r="F7" t="s">
        <v>1050</v>
      </c>
      <c r="G7" t="s">
        <v>101</v>
      </c>
      <c r="H7" s="17">
        <v>46215</v>
      </c>
      <c r="I7" t="s">
        <v>48</v>
      </c>
      <c r="J7" t="s">
        <v>1128</v>
      </c>
      <c r="K7" t="s">
        <v>1129</v>
      </c>
      <c r="L7" t="s">
        <v>90</v>
      </c>
      <c r="M7" s="17">
        <v>46214</v>
      </c>
      <c r="N7" t="s">
        <v>1130</v>
      </c>
    </row>
    <row r="8" spans="1:14" ht="14.25">
      <c r="A8" t="s">
        <v>1131</v>
      </c>
      <c r="B8" t="s">
        <v>1119</v>
      </c>
      <c r="C8" t="s">
        <v>1132</v>
      </c>
      <c r="D8" t="s">
        <v>1133</v>
      </c>
      <c r="E8" t="s">
        <v>516</v>
      </c>
      <c r="F8" t="s">
        <v>1050</v>
      </c>
      <c r="G8" t="s">
        <v>90</v>
      </c>
      <c r="H8" s="17">
        <v>46216</v>
      </c>
      <c r="I8" t="s">
        <v>1134</v>
      </c>
      <c r="J8" t="s">
        <v>1135</v>
      </c>
      <c r="K8" t="s">
        <v>1136</v>
      </c>
      <c r="N8" t="s">
        <v>700</v>
      </c>
    </row>
    <row r="9" spans="1:14" ht="14.25">
      <c r="A9" t="s">
        <v>1137</v>
      </c>
      <c r="B9" t="s">
        <v>1119</v>
      </c>
      <c r="C9" t="s">
        <v>1138</v>
      </c>
      <c r="D9" t="s">
        <v>1139</v>
      </c>
      <c r="E9" t="s">
        <v>516</v>
      </c>
      <c r="F9" t="s">
        <v>1050</v>
      </c>
      <c r="G9" t="s">
        <v>90</v>
      </c>
      <c r="H9" s="17">
        <v>46217</v>
      </c>
      <c r="I9" t="s">
        <v>51</v>
      </c>
      <c r="J9" t="s">
        <v>1140</v>
      </c>
      <c r="K9" t="s">
        <v>1141</v>
      </c>
      <c r="N9" t="s">
        <v>707</v>
      </c>
    </row>
    <row r="10" spans="1:14" ht="14.25">
      <c r="A10" t="s">
        <v>1142</v>
      </c>
      <c r="B10" t="s">
        <v>1125</v>
      </c>
      <c r="C10" t="s">
        <v>1143</v>
      </c>
      <c r="D10" t="s">
        <v>1144</v>
      </c>
      <c r="E10" t="s">
        <v>516</v>
      </c>
      <c r="F10" t="s">
        <v>1145</v>
      </c>
      <c r="G10" t="s">
        <v>90</v>
      </c>
      <c r="H10" s="17">
        <v>46214</v>
      </c>
      <c r="I10" t="s">
        <v>48</v>
      </c>
      <c r="J10" t="s">
        <v>1146</v>
      </c>
      <c r="K10" t="s">
        <v>1147</v>
      </c>
      <c r="L10" t="s">
        <v>673</v>
      </c>
      <c r="M10" s="17">
        <v>46214</v>
      </c>
      <c r="N10" t="s">
        <v>714</v>
      </c>
    </row>
    <row r="11" spans="1:14" ht="14.25">
      <c r="A11" t="s">
        <v>1148</v>
      </c>
      <c r="B11" t="s">
        <v>1119</v>
      </c>
      <c r="C11" t="s">
        <v>1149</v>
      </c>
      <c r="D11" t="s">
        <v>1150</v>
      </c>
      <c r="E11" t="s">
        <v>59</v>
      </c>
      <c r="F11" t="s">
        <v>1050</v>
      </c>
      <c r="G11" t="s">
        <v>121</v>
      </c>
      <c r="H11" s="17">
        <v>46218</v>
      </c>
      <c r="I11" t="s">
        <v>987</v>
      </c>
      <c r="J11" t="s">
        <v>1151</v>
      </c>
      <c r="K11" t="s">
        <v>1152</v>
      </c>
      <c r="L11" t="s">
        <v>121</v>
      </c>
      <c r="M11" s="17">
        <v>46218</v>
      </c>
      <c r="N11" t="s">
        <v>740</v>
      </c>
    </row>
    <row r="12" spans="1:14" ht="14.25">
      <c r="A12" t="s">
        <v>1153</v>
      </c>
      <c r="B12" t="s">
        <v>1125</v>
      </c>
      <c r="C12" t="s">
        <v>1154</v>
      </c>
      <c r="D12" t="s">
        <v>1155</v>
      </c>
      <c r="E12" t="s">
        <v>59</v>
      </c>
      <c r="F12" t="s">
        <v>1145</v>
      </c>
      <c r="G12" t="s">
        <v>121</v>
      </c>
      <c r="H12" s="17">
        <v>46213</v>
      </c>
      <c r="I12" t="s">
        <v>48</v>
      </c>
      <c r="J12" t="s">
        <v>1156</v>
      </c>
      <c r="K12" t="s">
        <v>1157</v>
      </c>
      <c r="L12" t="s">
        <v>90</v>
      </c>
      <c r="M12" s="17">
        <v>46213</v>
      </c>
      <c r="N12" t="s">
        <v>763</v>
      </c>
    </row>
    <row r="13" spans="1:14" ht="14.25">
      <c r="A13" t="s">
        <v>1158</v>
      </c>
      <c r="B13" t="s">
        <v>1119</v>
      </c>
      <c r="C13" t="s">
        <v>820</v>
      </c>
      <c r="D13" t="s">
        <v>1159</v>
      </c>
      <c r="E13" t="s">
        <v>53</v>
      </c>
      <c r="F13" t="s">
        <v>1027</v>
      </c>
      <c r="G13" t="s">
        <v>90</v>
      </c>
      <c r="H13" s="17">
        <v>46219</v>
      </c>
      <c r="I13" t="s">
        <v>51</v>
      </c>
      <c r="J13" t="s">
        <v>1160</v>
      </c>
      <c r="K13" t="s">
        <v>1161</v>
      </c>
      <c r="N13" t="s">
        <v>817</v>
      </c>
    </row>
    <row r="14" spans="1:14" ht="14.25">
      <c r="A14" t="s">
        <v>1162</v>
      </c>
      <c r="B14" t="s">
        <v>1125</v>
      </c>
      <c r="C14" t="s">
        <v>1163</v>
      </c>
      <c r="D14" t="s">
        <v>1164</v>
      </c>
      <c r="E14" t="s">
        <v>65</v>
      </c>
      <c r="F14" t="s">
        <v>1050</v>
      </c>
      <c r="G14" t="s">
        <v>131</v>
      </c>
      <c r="H14" s="17">
        <v>46213</v>
      </c>
      <c r="I14" t="s">
        <v>48</v>
      </c>
      <c r="J14" t="s">
        <v>1165</v>
      </c>
      <c r="K14" t="s">
        <v>1166</v>
      </c>
      <c r="L14" t="s">
        <v>131</v>
      </c>
      <c r="M14" s="17">
        <v>46213</v>
      </c>
      <c r="N14" t="s">
        <v>730</v>
      </c>
    </row>
    <row r="15" spans="1:14" ht="14.25">
      <c r="A15" t="s">
        <v>1167</v>
      </c>
      <c r="B15" t="s">
        <v>1119</v>
      </c>
      <c r="C15" t="s">
        <v>1168</v>
      </c>
      <c r="D15" t="s">
        <v>1169</v>
      </c>
      <c r="E15" t="s">
        <v>53</v>
      </c>
      <c r="F15" t="s">
        <v>1050</v>
      </c>
      <c r="G15" t="s">
        <v>90</v>
      </c>
      <c r="H15" s="17">
        <v>46220</v>
      </c>
      <c r="I15" t="s">
        <v>1134</v>
      </c>
      <c r="J15" t="s">
        <v>1170</v>
      </c>
      <c r="K15" t="s">
        <v>1171</v>
      </c>
      <c r="N15" t="s">
        <v>752</v>
      </c>
    </row>
    <row r="16" spans="1:14" ht="14.25">
      <c r="A16" t="s">
        <v>1172</v>
      </c>
      <c r="B16" t="s">
        <v>1125</v>
      </c>
      <c r="C16" t="s">
        <v>1173</v>
      </c>
      <c r="D16" t="s">
        <v>1174</v>
      </c>
      <c r="E16" t="s">
        <v>516</v>
      </c>
      <c r="F16" t="s">
        <v>1145</v>
      </c>
      <c r="G16" t="s">
        <v>90</v>
      </c>
      <c r="H16" s="17">
        <v>46215</v>
      </c>
      <c r="I16" t="s">
        <v>48</v>
      </c>
      <c r="J16" t="s">
        <v>1175</v>
      </c>
      <c r="K16" t="s">
        <v>1176</v>
      </c>
      <c r="L16" t="s">
        <v>673</v>
      </c>
      <c r="M16" s="17">
        <v>46215</v>
      </c>
      <c r="N16" t="s">
        <v>806</v>
      </c>
    </row>
    <row r="17" spans="1:14" ht="14.25">
      <c r="A17" t="s">
        <v>1177</v>
      </c>
      <c r="B17" t="s">
        <v>1119</v>
      </c>
      <c r="C17" t="s">
        <v>1178</v>
      </c>
      <c r="D17" t="s">
        <v>1179</v>
      </c>
      <c r="E17" t="s">
        <v>62</v>
      </c>
      <c r="F17" t="s">
        <v>1050</v>
      </c>
      <c r="G17" t="s">
        <v>101</v>
      </c>
      <c r="H17" s="17">
        <v>46221</v>
      </c>
      <c r="I17" t="s">
        <v>51</v>
      </c>
      <c r="J17" t="s">
        <v>1180</v>
      </c>
      <c r="K17" t="s">
        <v>1181</v>
      </c>
      <c r="N17" t="s">
        <v>773</v>
      </c>
    </row>
    <row r="18" spans="1:14">
      <c r="A18" s="3"/>
      <c r="B18" s="3"/>
      <c r="C18" s="3"/>
      <c r="D18" s="3"/>
      <c r="E18" s="3"/>
      <c r="F18" s="3"/>
      <c r="G18" s="3"/>
      <c r="H18" s="8"/>
      <c r="I18" s="3"/>
      <c r="J18" s="3"/>
      <c r="K18" s="3"/>
      <c r="L18" s="3"/>
      <c r="M18" s="8"/>
      <c r="N18" s="3"/>
    </row>
    <row r="19" spans="1:14">
      <c r="A19" s="3"/>
      <c r="B19" s="3"/>
      <c r="C19" s="3"/>
      <c r="D19" s="3"/>
      <c r="E19" s="3"/>
      <c r="F19" s="3"/>
      <c r="G19" s="3"/>
      <c r="H19" s="8"/>
      <c r="I19" s="3"/>
      <c r="J19" s="3"/>
      <c r="K19" s="3"/>
      <c r="L19" s="3"/>
      <c r="M19" s="8"/>
      <c r="N19" s="3"/>
    </row>
    <row r="20" spans="1:14">
      <c r="A20" s="3"/>
      <c r="B20" s="3"/>
      <c r="C20" s="3"/>
      <c r="D20" s="3"/>
      <c r="E20" s="3"/>
      <c r="F20" s="3"/>
      <c r="G20" s="3"/>
      <c r="H20" s="8"/>
      <c r="I20" s="3"/>
      <c r="J20" s="3"/>
      <c r="K20" s="3"/>
      <c r="L20" s="3"/>
      <c r="M20" s="8"/>
      <c r="N20" s="3"/>
    </row>
    <row r="21" spans="1:14">
      <c r="A21" s="3"/>
      <c r="B21" s="3"/>
      <c r="C21" s="3"/>
      <c r="D21" s="3"/>
      <c r="E21" s="3"/>
      <c r="F21" s="3"/>
      <c r="G21" s="3"/>
      <c r="H21" s="8"/>
      <c r="I21" s="3"/>
      <c r="J21" s="3"/>
      <c r="K21" s="3"/>
      <c r="L21" s="3"/>
      <c r="M21" s="8"/>
      <c r="N21" s="3"/>
    </row>
    <row r="22" spans="1:14">
      <c r="A22" s="3"/>
      <c r="B22" s="3"/>
      <c r="C22" s="3"/>
      <c r="D22" s="3"/>
      <c r="E22" s="3"/>
      <c r="F22" s="3"/>
      <c r="G22" s="3"/>
      <c r="H22" s="8"/>
      <c r="I22" s="3"/>
      <c r="J22" s="3"/>
      <c r="K22" s="3"/>
      <c r="L22" s="3"/>
      <c r="M22" s="8"/>
      <c r="N22" s="3"/>
    </row>
    <row r="23" spans="1:14">
      <c r="A23" s="3"/>
      <c r="B23" s="3"/>
      <c r="C23" s="3"/>
      <c r="D23" s="3"/>
      <c r="E23" s="3"/>
      <c r="F23" s="3"/>
      <c r="G23" s="3"/>
      <c r="H23" s="8"/>
      <c r="I23" s="3"/>
      <c r="J23" s="3"/>
      <c r="K23" s="3"/>
      <c r="L23" s="3"/>
      <c r="M23" s="8"/>
      <c r="N23" s="3"/>
    </row>
    <row r="24" spans="1:14">
      <c r="A24" s="3"/>
      <c r="B24" s="3"/>
      <c r="C24" s="3"/>
      <c r="D24" s="3"/>
      <c r="E24" s="3"/>
      <c r="F24" s="3"/>
      <c r="G24" s="3"/>
      <c r="H24" s="8"/>
      <c r="I24" s="3"/>
      <c r="J24" s="3"/>
      <c r="K24" s="3"/>
      <c r="L24" s="3"/>
      <c r="M24" s="8"/>
      <c r="N24" s="3"/>
    </row>
    <row r="25" spans="1:14">
      <c r="A25" s="3"/>
      <c r="B25" s="3"/>
      <c r="C25" s="3"/>
      <c r="D25" s="3"/>
      <c r="E25" s="3"/>
      <c r="F25" s="3"/>
      <c r="G25" s="3"/>
      <c r="H25" s="8"/>
      <c r="I25" s="3"/>
      <c r="J25" s="3"/>
      <c r="K25" s="3"/>
      <c r="L25" s="3"/>
      <c r="M25" s="8"/>
      <c r="N25" s="3"/>
    </row>
    <row r="26" spans="1:14">
      <c r="A26" s="3"/>
      <c r="B26" s="3"/>
      <c r="C26" s="3"/>
      <c r="D26" s="3"/>
      <c r="E26" s="3"/>
      <c r="F26" s="3"/>
      <c r="G26" s="3"/>
      <c r="H26" s="8"/>
      <c r="I26" s="3"/>
      <c r="J26" s="3"/>
      <c r="K26" s="3"/>
      <c r="L26" s="3"/>
      <c r="M26" s="8"/>
      <c r="N26" s="3"/>
    </row>
    <row r="27" spans="1:14">
      <c r="A27" s="3"/>
      <c r="B27" s="3"/>
      <c r="C27" s="3"/>
      <c r="D27" s="3"/>
      <c r="E27" s="3"/>
      <c r="F27" s="3"/>
      <c r="G27" s="3"/>
      <c r="H27" s="8"/>
      <c r="I27" s="3"/>
      <c r="J27" s="3"/>
      <c r="K27" s="3"/>
      <c r="L27" s="3"/>
      <c r="M27" s="8"/>
      <c r="N27" s="3"/>
    </row>
    <row r="28" spans="1:14">
      <c r="A28" s="3"/>
      <c r="B28" s="3"/>
      <c r="C28" s="3"/>
      <c r="D28" s="3"/>
      <c r="E28" s="3"/>
      <c r="F28" s="3"/>
      <c r="G28" s="3"/>
      <c r="H28" s="8"/>
      <c r="I28" s="3"/>
      <c r="J28" s="3"/>
      <c r="K28" s="3"/>
      <c r="L28" s="3"/>
      <c r="M28" s="8"/>
      <c r="N28" s="3"/>
    </row>
    <row r="29" spans="1:14">
      <c r="A29" s="3"/>
      <c r="B29" s="3"/>
      <c r="C29" s="3"/>
      <c r="D29" s="3"/>
      <c r="E29" s="3"/>
      <c r="F29" s="3"/>
      <c r="G29" s="3"/>
      <c r="H29" s="8"/>
      <c r="I29" s="3"/>
      <c r="J29" s="3"/>
      <c r="K29" s="3"/>
      <c r="L29" s="3"/>
      <c r="M29" s="8"/>
      <c r="N29" s="3"/>
    </row>
    <row r="30" spans="1:14">
      <c r="A30" s="3"/>
      <c r="B30" s="3"/>
      <c r="C30" s="3"/>
      <c r="D30" s="3"/>
      <c r="E30" s="3"/>
      <c r="F30" s="3"/>
      <c r="G30" s="3"/>
      <c r="H30" s="8"/>
      <c r="I30" s="3"/>
      <c r="J30" s="3"/>
      <c r="K30" s="3"/>
      <c r="L30" s="3"/>
      <c r="M30" s="8"/>
      <c r="N30" s="3"/>
    </row>
    <row r="31" spans="1:14">
      <c r="A31" s="3"/>
      <c r="B31" s="3"/>
      <c r="C31" s="3"/>
      <c r="D31" s="3"/>
      <c r="E31" s="3"/>
      <c r="F31" s="3"/>
      <c r="G31" s="3"/>
      <c r="H31" s="8"/>
      <c r="I31" s="3"/>
      <c r="J31" s="3"/>
      <c r="K31" s="3"/>
      <c r="L31" s="3"/>
      <c r="M31" s="8"/>
      <c r="N31" s="3"/>
    </row>
    <row r="32" spans="1:14">
      <c r="A32" s="3"/>
      <c r="B32" s="3"/>
      <c r="C32" s="3"/>
      <c r="D32" s="3"/>
      <c r="E32" s="3"/>
      <c r="F32" s="3"/>
      <c r="G32" s="3"/>
      <c r="H32" s="8"/>
      <c r="I32" s="3"/>
      <c r="J32" s="3"/>
      <c r="K32" s="3"/>
      <c r="L32" s="3"/>
      <c r="M32" s="8"/>
      <c r="N32" s="3"/>
    </row>
    <row r="33" spans="1:14">
      <c r="A33" s="3"/>
      <c r="B33" s="3"/>
      <c r="C33" s="3"/>
      <c r="D33" s="3"/>
      <c r="E33" s="3"/>
      <c r="F33" s="3"/>
      <c r="G33" s="3"/>
      <c r="H33" s="8"/>
      <c r="I33" s="3"/>
      <c r="J33" s="3"/>
      <c r="K33" s="3"/>
      <c r="L33" s="3"/>
      <c r="M33" s="8"/>
      <c r="N33" s="3"/>
    </row>
    <row r="34" spans="1:14">
      <c r="A34" s="3"/>
      <c r="B34" s="3"/>
      <c r="C34" s="3"/>
      <c r="D34" s="3"/>
      <c r="E34" s="3"/>
      <c r="F34" s="3"/>
      <c r="G34" s="3"/>
      <c r="H34" s="8"/>
      <c r="I34" s="3"/>
      <c r="J34" s="3"/>
      <c r="K34" s="3"/>
      <c r="L34" s="3"/>
      <c r="M34" s="8"/>
      <c r="N34" s="3"/>
    </row>
    <row r="35" spans="1:14">
      <c r="A35" s="3"/>
      <c r="B35" s="3"/>
      <c r="C35" s="3"/>
      <c r="D35" s="3"/>
      <c r="E35" s="3"/>
      <c r="F35" s="3"/>
      <c r="G35" s="3"/>
      <c r="H35" s="8"/>
      <c r="I35" s="3"/>
      <c r="J35" s="3"/>
      <c r="K35" s="3"/>
      <c r="L35" s="3"/>
      <c r="M35" s="8"/>
      <c r="N35" s="3"/>
    </row>
    <row r="36" spans="1:14">
      <c r="A36" s="3"/>
      <c r="B36" s="3"/>
      <c r="C36" s="3"/>
      <c r="D36" s="3"/>
      <c r="E36" s="3"/>
      <c r="F36" s="3"/>
      <c r="G36" s="3"/>
      <c r="H36" s="8"/>
      <c r="I36" s="3"/>
      <c r="J36" s="3"/>
      <c r="K36" s="3"/>
      <c r="L36" s="3"/>
      <c r="M36" s="8"/>
      <c r="N36" s="3"/>
    </row>
    <row r="37" spans="1:14">
      <c r="A37" s="3"/>
      <c r="B37" s="3"/>
      <c r="C37" s="3"/>
      <c r="D37" s="3"/>
      <c r="E37" s="3"/>
      <c r="F37" s="3"/>
      <c r="G37" s="3"/>
      <c r="H37" s="8"/>
      <c r="I37" s="3"/>
      <c r="J37" s="3"/>
      <c r="K37" s="3"/>
      <c r="L37" s="3"/>
      <c r="M37" s="8"/>
      <c r="N37" s="3"/>
    </row>
    <row r="38" spans="1:14">
      <c r="A38" s="3"/>
      <c r="B38" s="3"/>
      <c r="C38" s="3"/>
      <c r="D38" s="3"/>
      <c r="E38" s="3"/>
      <c r="F38" s="3"/>
      <c r="G38" s="3"/>
      <c r="H38" s="8"/>
      <c r="I38" s="3"/>
      <c r="J38" s="3"/>
      <c r="K38" s="3"/>
      <c r="L38" s="3"/>
      <c r="M38" s="8"/>
      <c r="N38" s="3"/>
    </row>
    <row r="39" spans="1:14">
      <c r="A39" s="3"/>
      <c r="B39" s="3"/>
      <c r="C39" s="3"/>
      <c r="D39" s="3"/>
      <c r="E39" s="3"/>
      <c r="F39" s="3"/>
      <c r="G39" s="3"/>
      <c r="H39" s="8"/>
      <c r="I39" s="3"/>
      <c r="J39" s="3"/>
      <c r="K39" s="3"/>
      <c r="L39" s="3"/>
      <c r="M39" s="8"/>
      <c r="N39" s="3"/>
    </row>
    <row r="40" spans="1:14">
      <c r="A40" s="3"/>
      <c r="B40" s="3"/>
      <c r="C40" s="3"/>
      <c r="D40" s="3"/>
      <c r="E40" s="3"/>
      <c r="F40" s="3"/>
      <c r="G40" s="3"/>
      <c r="H40" s="8"/>
      <c r="I40" s="3"/>
      <c r="J40" s="3"/>
      <c r="K40" s="3"/>
      <c r="L40" s="3"/>
      <c r="M40" s="8"/>
      <c r="N40" s="3"/>
    </row>
    <row r="41" spans="1:14">
      <c r="A41" s="3"/>
      <c r="B41" s="3"/>
      <c r="C41" s="3"/>
      <c r="D41" s="3"/>
      <c r="E41" s="3"/>
      <c r="F41" s="3"/>
      <c r="G41" s="3"/>
      <c r="H41" s="8"/>
      <c r="I41" s="3"/>
      <c r="J41" s="3"/>
      <c r="K41" s="3"/>
      <c r="L41" s="3"/>
      <c r="M41" s="8"/>
      <c r="N41" s="3"/>
    </row>
    <row r="42" spans="1:14">
      <c r="A42" s="3"/>
      <c r="B42" s="3"/>
      <c r="C42" s="3"/>
      <c r="D42" s="3"/>
      <c r="E42" s="3"/>
      <c r="F42" s="3"/>
      <c r="G42" s="3"/>
      <c r="H42" s="8"/>
      <c r="I42" s="3"/>
      <c r="J42" s="3"/>
      <c r="K42" s="3"/>
      <c r="L42" s="3"/>
      <c r="M42" s="8"/>
      <c r="N42" s="3"/>
    </row>
    <row r="43" spans="1:14">
      <c r="A43" s="3"/>
      <c r="B43" s="3"/>
      <c r="C43" s="3"/>
      <c r="D43" s="3"/>
      <c r="E43" s="3"/>
      <c r="F43" s="3"/>
      <c r="G43" s="3"/>
      <c r="H43" s="8"/>
      <c r="I43" s="3"/>
      <c r="J43" s="3"/>
      <c r="K43" s="3"/>
      <c r="L43" s="3"/>
      <c r="M43" s="8"/>
      <c r="N43" s="3"/>
    </row>
    <row r="44" spans="1:14">
      <c r="A44" s="3"/>
      <c r="B44" s="3"/>
      <c r="C44" s="3"/>
      <c r="D44" s="3"/>
      <c r="E44" s="3"/>
      <c r="F44" s="3"/>
      <c r="G44" s="3"/>
      <c r="H44" s="8"/>
      <c r="I44" s="3"/>
      <c r="J44" s="3"/>
      <c r="K44" s="3"/>
      <c r="L44" s="3"/>
      <c r="M44" s="8"/>
      <c r="N44" s="3"/>
    </row>
    <row r="45" spans="1:14">
      <c r="A45" s="3"/>
      <c r="B45" s="3"/>
      <c r="C45" s="3"/>
      <c r="D45" s="3"/>
      <c r="E45" s="3"/>
      <c r="F45" s="3"/>
      <c r="G45" s="3"/>
      <c r="H45" s="8"/>
      <c r="I45" s="3"/>
      <c r="J45" s="3"/>
      <c r="K45" s="3"/>
      <c r="L45" s="3"/>
      <c r="M45" s="8"/>
      <c r="N45" s="3"/>
    </row>
    <row r="46" spans="1:14">
      <c r="A46" s="3"/>
      <c r="B46" s="3"/>
      <c r="C46" s="3"/>
      <c r="D46" s="3"/>
      <c r="E46" s="3"/>
      <c r="F46" s="3"/>
      <c r="G46" s="3"/>
      <c r="H46" s="8"/>
      <c r="I46" s="3"/>
      <c r="J46" s="3"/>
      <c r="K46" s="3"/>
      <c r="L46" s="3"/>
      <c r="M46" s="8"/>
      <c r="N46" s="3"/>
    </row>
    <row r="47" spans="1:14">
      <c r="A47" s="3"/>
      <c r="B47" s="3"/>
      <c r="C47" s="3"/>
      <c r="D47" s="3"/>
      <c r="E47" s="3"/>
      <c r="F47" s="3"/>
      <c r="G47" s="3"/>
      <c r="H47" s="8"/>
      <c r="I47" s="3"/>
      <c r="J47" s="3"/>
      <c r="K47" s="3"/>
      <c r="L47" s="3"/>
      <c r="M47" s="8"/>
      <c r="N47" s="3"/>
    </row>
    <row r="48" spans="1:14">
      <c r="A48" s="3"/>
      <c r="B48" s="3"/>
      <c r="C48" s="3"/>
      <c r="D48" s="3"/>
      <c r="E48" s="3"/>
      <c r="F48" s="3"/>
      <c r="G48" s="3"/>
      <c r="H48" s="8"/>
      <c r="I48" s="3"/>
      <c r="J48" s="3"/>
      <c r="K48" s="3"/>
      <c r="L48" s="3"/>
      <c r="M48" s="8"/>
      <c r="N48" s="3"/>
    </row>
    <row r="49" spans="1:14">
      <c r="A49" s="3"/>
      <c r="B49" s="3"/>
      <c r="C49" s="3"/>
      <c r="D49" s="3"/>
      <c r="E49" s="3"/>
      <c r="F49" s="3"/>
      <c r="G49" s="3"/>
      <c r="H49" s="8"/>
      <c r="I49" s="3"/>
      <c r="J49" s="3"/>
      <c r="K49" s="3"/>
      <c r="L49" s="3"/>
      <c r="M49" s="8"/>
      <c r="N49" s="3"/>
    </row>
    <row r="50" spans="1:14">
      <c r="A50" s="3"/>
      <c r="B50" s="3"/>
      <c r="C50" s="3"/>
      <c r="D50" s="3"/>
      <c r="E50" s="3"/>
      <c r="F50" s="3"/>
      <c r="G50" s="3"/>
      <c r="H50" s="8"/>
      <c r="I50" s="3"/>
      <c r="J50" s="3"/>
      <c r="K50" s="3"/>
      <c r="L50" s="3"/>
      <c r="M50" s="8"/>
      <c r="N50" s="3"/>
    </row>
    <row r="51" spans="1:14">
      <c r="A51" s="3"/>
      <c r="B51" s="3"/>
      <c r="C51" s="3"/>
      <c r="D51" s="3"/>
      <c r="E51" s="3"/>
      <c r="F51" s="3"/>
      <c r="G51" s="3"/>
      <c r="H51" s="8"/>
      <c r="I51" s="3"/>
      <c r="J51" s="3"/>
      <c r="K51" s="3"/>
      <c r="L51" s="3"/>
      <c r="M51" s="8"/>
      <c r="N51" s="3"/>
    </row>
    <row r="52" spans="1:14">
      <c r="A52" s="3"/>
      <c r="B52" s="3"/>
      <c r="C52" s="3"/>
      <c r="D52" s="3"/>
      <c r="E52" s="3"/>
      <c r="F52" s="3"/>
      <c r="G52" s="3"/>
      <c r="H52" s="8"/>
      <c r="I52" s="3"/>
      <c r="J52" s="3"/>
      <c r="K52" s="3"/>
      <c r="L52" s="3"/>
      <c r="M52" s="8"/>
      <c r="N52" s="3"/>
    </row>
    <row r="53" spans="1:14">
      <c r="A53" s="3"/>
      <c r="B53" s="3"/>
      <c r="C53" s="3"/>
      <c r="D53" s="3"/>
      <c r="E53" s="3"/>
      <c r="F53" s="3"/>
      <c r="G53" s="3"/>
      <c r="H53" s="8"/>
      <c r="I53" s="3"/>
      <c r="J53" s="3"/>
      <c r="K53" s="3"/>
      <c r="L53" s="3"/>
      <c r="M53" s="8"/>
      <c r="N53" s="3"/>
    </row>
    <row r="54" spans="1:14">
      <c r="A54" s="3"/>
      <c r="B54" s="3"/>
      <c r="C54" s="3"/>
      <c r="D54" s="3"/>
      <c r="E54" s="3"/>
      <c r="F54" s="3"/>
      <c r="G54" s="3"/>
      <c r="H54" s="8"/>
      <c r="I54" s="3"/>
      <c r="J54" s="3"/>
      <c r="K54" s="3"/>
      <c r="L54" s="3"/>
      <c r="M54" s="8"/>
      <c r="N54" s="3"/>
    </row>
    <row r="55" spans="1:14">
      <c r="A55" s="3"/>
      <c r="B55" s="3"/>
      <c r="C55" s="3"/>
      <c r="D55" s="3"/>
      <c r="E55" s="3"/>
      <c r="F55" s="3"/>
      <c r="G55" s="3"/>
      <c r="H55" s="8"/>
      <c r="I55" s="3"/>
      <c r="J55" s="3"/>
      <c r="K55" s="3"/>
      <c r="L55" s="3"/>
      <c r="M55" s="8"/>
      <c r="N55" s="3"/>
    </row>
    <row r="56" spans="1:14">
      <c r="A56" s="3"/>
      <c r="B56" s="3"/>
      <c r="C56" s="3"/>
      <c r="D56" s="3"/>
      <c r="E56" s="3"/>
      <c r="F56" s="3"/>
      <c r="G56" s="3"/>
      <c r="H56" s="8"/>
      <c r="I56" s="3"/>
      <c r="J56" s="3"/>
      <c r="K56" s="3"/>
      <c r="L56" s="3"/>
      <c r="M56" s="8"/>
      <c r="N56" s="3"/>
    </row>
    <row r="57" spans="1:14">
      <c r="A57" s="3"/>
      <c r="B57" s="3"/>
      <c r="C57" s="3"/>
      <c r="D57" s="3"/>
      <c r="E57" s="3"/>
      <c r="F57" s="3"/>
      <c r="G57" s="3"/>
      <c r="H57" s="8"/>
      <c r="I57" s="3"/>
      <c r="J57" s="3"/>
      <c r="K57" s="3"/>
      <c r="L57" s="3"/>
      <c r="M57" s="8"/>
      <c r="N57" s="3"/>
    </row>
    <row r="58" spans="1:14">
      <c r="A58" s="3"/>
      <c r="B58" s="3"/>
      <c r="C58" s="3"/>
      <c r="D58" s="3"/>
      <c r="E58" s="3"/>
      <c r="F58" s="3"/>
      <c r="G58" s="3"/>
      <c r="H58" s="8"/>
      <c r="I58" s="3"/>
      <c r="J58" s="3"/>
      <c r="K58" s="3"/>
      <c r="L58" s="3"/>
      <c r="M58" s="8"/>
      <c r="N58" s="3"/>
    </row>
    <row r="59" spans="1:14">
      <c r="A59" s="3"/>
      <c r="B59" s="3"/>
      <c r="C59" s="3"/>
      <c r="D59" s="3"/>
      <c r="E59" s="3"/>
      <c r="F59" s="3"/>
      <c r="G59" s="3"/>
      <c r="H59" s="8"/>
      <c r="I59" s="3"/>
      <c r="J59" s="3"/>
      <c r="K59" s="3"/>
      <c r="L59" s="3"/>
      <c r="M59" s="8"/>
      <c r="N59" s="3"/>
    </row>
    <row r="60" spans="1:14">
      <c r="A60" s="3"/>
      <c r="B60" s="3"/>
      <c r="C60" s="3"/>
      <c r="D60" s="3"/>
      <c r="E60" s="3"/>
      <c r="F60" s="3"/>
      <c r="G60" s="3"/>
      <c r="H60" s="8"/>
      <c r="I60" s="3"/>
      <c r="J60" s="3"/>
      <c r="K60" s="3"/>
      <c r="L60" s="3"/>
      <c r="M60" s="8"/>
      <c r="N60" s="3"/>
    </row>
    <row r="61" spans="1:14">
      <c r="A61" s="3"/>
      <c r="B61" s="3"/>
      <c r="C61" s="3"/>
      <c r="D61" s="3"/>
      <c r="E61" s="3"/>
      <c r="F61" s="3"/>
      <c r="G61" s="3"/>
      <c r="H61" s="8"/>
      <c r="I61" s="3"/>
      <c r="J61" s="3"/>
      <c r="K61" s="3"/>
      <c r="L61" s="3"/>
      <c r="M61" s="8"/>
      <c r="N61" s="3"/>
    </row>
    <row r="62" spans="1:14">
      <c r="A62" s="3"/>
      <c r="B62" s="3"/>
      <c r="C62" s="3"/>
      <c r="D62" s="3"/>
      <c r="E62" s="3"/>
      <c r="F62" s="3"/>
      <c r="G62" s="3"/>
      <c r="H62" s="8"/>
      <c r="I62" s="3"/>
      <c r="J62" s="3"/>
      <c r="K62" s="3"/>
      <c r="L62" s="3"/>
      <c r="M62" s="8"/>
      <c r="N62" s="3"/>
    </row>
    <row r="63" spans="1:14">
      <c r="A63" s="3"/>
      <c r="B63" s="3"/>
      <c r="C63" s="3"/>
      <c r="D63" s="3"/>
      <c r="E63" s="3"/>
      <c r="F63" s="3"/>
      <c r="G63" s="3"/>
      <c r="H63" s="8"/>
      <c r="I63" s="3"/>
      <c r="J63" s="3"/>
      <c r="K63" s="3"/>
      <c r="L63" s="3"/>
      <c r="M63" s="8"/>
      <c r="N63" s="3"/>
    </row>
    <row r="64" spans="1:14">
      <c r="A64" s="3"/>
      <c r="B64" s="3"/>
      <c r="C64" s="3"/>
      <c r="D64" s="3"/>
      <c r="E64" s="3"/>
      <c r="F64" s="3"/>
      <c r="G64" s="3"/>
      <c r="H64" s="8"/>
      <c r="I64" s="3"/>
      <c r="J64" s="3"/>
      <c r="K64" s="3"/>
      <c r="L64" s="3"/>
      <c r="M64" s="8"/>
      <c r="N64" s="3"/>
    </row>
    <row r="65" spans="1:14">
      <c r="A65" s="3"/>
      <c r="B65" s="3"/>
      <c r="C65" s="3"/>
      <c r="D65" s="3"/>
      <c r="E65" s="3"/>
      <c r="F65" s="3"/>
      <c r="G65" s="3"/>
      <c r="H65" s="8"/>
      <c r="I65" s="3"/>
      <c r="J65" s="3"/>
      <c r="K65" s="3"/>
      <c r="L65" s="3"/>
      <c r="M65" s="8"/>
      <c r="N65" s="3"/>
    </row>
    <row r="66" spans="1:14">
      <c r="A66" s="3"/>
      <c r="B66" s="3"/>
      <c r="C66" s="3"/>
      <c r="D66" s="3"/>
      <c r="E66" s="3"/>
      <c r="F66" s="3"/>
      <c r="G66" s="3"/>
      <c r="H66" s="8"/>
      <c r="I66" s="3"/>
      <c r="J66" s="3"/>
      <c r="K66" s="3"/>
      <c r="L66" s="3"/>
      <c r="M66" s="8"/>
      <c r="N66" s="3"/>
    </row>
    <row r="67" spans="1:14">
      <c r="A67" s="3"/>
      <c r="B67" s="3"/>
      <c r="C67" s="3"/>
      <c r="D67" s="3"/>
      <c r="E67" s="3"/>
      <c r="F67" s="3"/>
      <c r="G67" s="3"/>
      <c r="H67" s="8"/>
      <c r="I67" s="3"/>
      <c r="J67" s="3"/>
      <c r="K67" s="3"/>
      <c r="L67" s="3"/>
      <c r="M67" s="8"/>
      <c r="N67" s="3"/>
    </row>
    <row r="68" spans="1:14">
      <c r="A68" s="3"/>
      <c r="B68" s="3"/>
      <c r="C68" s="3"/>
      <c r="D68" s="3"/>
      <c r="E68" s="3"/>
      <c r="F68" s="3"/>
      <c r="G68" s="3"/>
      <c r="H68" s="8"/>
      <c r="I68" s="3"/>
      <c r="J68" s="3"/>
      <c r="K68" s="3"/>
      <c r="L68" s="3"/>
      <c r="M68" s="8"/>
      <c r="N68" s="3"/>
    </row>
    <row r="69" spans="1:14">
      <c r="A69" s="3"/>
      <c r="B69" s="3"/>
      <c r="C69" s="3"/>
      <c r="D69" s="3"/>
      <c r="E69" s="3"/>
      <c r="F69" s="3"/>
      <c r="G69" s="3"/>
      <c r="H69" s="8"/>
      <c r="I69" s="3"/>
      <c r="J69" s="3"/>
      <c r="K69" s="3"/>
      <c r="L69" s="3"/>
      <c r="M69" s="8"/>
      <c r="N69" s="3"/>
    </row>
    <row r="70" spans="1:14">
      <c r="A70" s="3"/>
      <c r="B70" s="3"/>
      <c r="C70" s="3"/>
      <c r="D70" s="3"/>
      <c r="E70" s="3"/>
      <c r="F70" s="3"/>
      <c r="G70" s="3"/>
      <c r="H70" s="8"/>
      <c r="I70" s="3"/>
      <c r="J70" s="3"/>
      <c r="K70" s="3"/>
      <c r="L70" s="3"/>
      <c r="M70" s="8"/>
      <c r="N70" s="3"/>
    </row>
    <row r="71" spans="1:14">
      <c r="A71" s="3"/>
      <c r="B71" s="3"/>
      <c r="C71" s="3"/>
      <c r="D71" s="3"/>
      <c r="E71" s="3"/>
      <c r="F71" s="3"/>
      <c r="G71" s="3"/>
      <c r="H71" s="8"/>
      <c r="I71" s="3"/>
      <c r="J71" s="3"/>
      <c r="K71" s="3"/>
      <c r="L71" s="3"/>
      <c r="M71" s="8"/>
      <c r="N71" s="3"/>
    </row>
    <row r="72" spans="1:14">
      <c r="A72" s="3"/>
      <c r="B72" s="3"/>
      <c r="C72" s="3"/>
      <c r="D72" s="3"/>
      <c r="E72" s="3"/>
      <c r="F72" s="3"/>
      <c r="G72" s="3"/>
      <c r="H72" s="8"/>
      <c r="I72" s="3"/>
      <c r="J72" s="3"/>
      <c r="K72" s="3"/>
      <c r="L72" s="3"/>
      <c r="M72" s="8"/>
      <c r="N72" s="3"/>
    </row>
    <row r="73" spans="1:14">
      <c r="A73" s="3"/>
      <c r="B73" s="3"/>
      <c r="C73" s="3"/>
      <c r="D73" s="3"/>
      <c r="E73" s="3"/>
      <c r="F73" s="3"/>
      <c r="G73" s="3"/>
      <c r="H73" s="8"/>
      <c r="I73" s="3"/>
      <c r="J73" s="3"/>
      <c r="K73" s="3"/>
      <c r="L73" s="3"/>
      <c r="M73" s="8"/>
      <c r="N73" s="3"/>
    </row>
    <row r="74" spans="1:14">
      <c r="A74" s="3"/>
      <c r="B74" s="3"/>
      <c r="C74" s="3"/>
      <c r="D74" s="3"/>
      <c r="E74" s="3"/>
      <c r="F74" s="3"/>
      <c r="G74" s="3"/>
      <c r="H74" s="8"/>
      <c r="I74" s="3"/>
      <c r="J74" s="3"/>
      <c r="K74" s="3"/>
      <c r="L74" s="3"/>
      <c r="M74" s="8"/>
      <c r="N74" s="3"/>
    </row>
    <row r="75" spans="1:14">
      <c r="A75" s="3"/>
      <c r="B75" s="3"/>
      <c r="C75" s="3"/>
      <c r="D75" s="3"/>
      <c r="E75" s="3"/>
      <c r="F75" s="3"/>
      <c r="G75" s="3"/>
      <c r="H75" s="8"/>
      <c r="I75" s="3"/>
      <c r="J75" s="3"/>
      <c r="K75" s="3"/>
      <c r="L75" s="3"/>
      <c r="M75" s="8"/>
      <c r="N75" s="3"/>
    </row>
    <row r="76" spans="1:14">
      <c r="A76" s="3"/>
      <c r="B76" s="3"/>
      <c r="C76" s="3"/>
      <c r="D76" s="3"/>
      <c r="E76" s="3"/>
      <c r="F76" s="3"/>
      <c r="G76" s="3"/>
      <c r="H76" s="8"/>
      <c r="I76" s="3"/>
      <c r="J76" s="3"/>
      <c r="K76" s="3"/>
      <c r="L76" s="3"/>
      <c r="M76" s="8"/>
      <c r="N76" s="3"/>
    </row>
    <row r="77" spans="1:14">
      <c r="A77" s="3"/>
      <c r="B77" s="3"/>
      <c r="C77" s="3"/>
      <c r="D77" s="3"/>
      <c r="E77" s="3"/>
      <c r="F77" s="3"/>
      <c r="G77" s="3"/>
      <c r="H77" s="8"/>
      <c r="I77" s="3"/>
      <c r="J77" s="3"/>
      <c r="K77" s="3"/>
      <c r="L77" s="3"/>
      <c r="M77" s="8"/>
      <c r="N77" s="3"/>
    </row>
    <row r="78" spans="1:14">
      <c r="A78" s="3"/>
      <c r="B78" s="3"/>
      <c r="C78" s="3"/>
      <c r="D78" s="3"/>
      <c r="E78" s="3"/>
      <c r="F78" s="3"/>
      <c r="G78" s="3"/>
      <c r="H78" s="8"/>
      <c r="I78" s="3"/>
      <c r="J78" s="3"/>
      <c r="K78" s="3"/>
      <c r="L78" s="3"/>
      <c r="M78" s="8"/>
      <c r="N78" s="3"/>
    </row>
    <row r="79" spans="1:14">
      <c r="A79" s="3"/>
      <c r="B79" s="3"/>
      <c r="C79" s="3"/>
      <c r="D79" s="3"/>
      <c r="E79" s="3"/>
      <c r="F79" s="3"/>
      <c r="G79" s="3"/>
      <c r="H79" s="8"/>
      <c r="I79" s="3"/>
      <c r="J79" s="3"/>
      <c r="K79" s="3"/>
      <c r="L79" s="3"/>
      <c r="M79" s="8"/>
      <c r="N79" s="3"/>
    </row>
    <row r="80" spans="1:14">
      <c r="A80" s="3"/>
      <c r="B80" s="3"/>
      <c r="C80" s="3"/>
      <c r="D80" s="3"/>
      <c r="E80" s="3"/>
      <c r="F80" s="3"/>
      <c r="G80" s="3"/>
      <c r="H80" s="8"/>
      <c r="I80" s="3"/>
      <c r="J80" s="3"/>
      <c r="K80" s="3"/>
      <c r="L80" s="3"/>
      <c r="M80" s="8"/>
      <c r="N80" s="3"/>
    </row>
    <row r="81" spans="1:14">
      <c r="A81" s="3"/>
      <c r="B81" s="3"/>
      <c r="C81" s="3"/>
      <c r="D81" s="3"/>
      <c r="E81" s="3"/>
      <c r="F81" s="3"/>
      <c r="G81" s="3"/>
      <c r="H81" s="8"/>
      <c r="I81" s="3"/>
      <c r="J81" s="3"/>
      <c r="K81" s="3"/>
      <c r="L81" s="3"/>
      <c r="M81" s="8"/>
      <c r="N81" s="3"/>
    </row>
    <row r="82" spans="1:14">
      <c r="A82" s="3"/>
      <c r="B82" s="3"/>
      <c r="C82" s="3"/>
      <c r="D82" s="3"/>
      <c r="E82" s="3"/>
      <c r="F82" s="3"/>
      <c r="G82" s="3"/>
      <c r="H82" s="8"/>
      <c r="I82" s="3"/>
      <c r="J82" s="3"/>
      <c r="K82" s="3"/>
      <c r="L82" s="3"/>
      <c r="M82" s="8"/>
      <c r="N82" s="3"/>
    </row>
    <row r="83" spans="1:14">
      <c r="A83" s="3"/>
      <c r="B83" s="3"/>
      <c r="C83" s="3"/>
      <c r="D83" s="3"/>
      <c r="E83" s="3"/>
      <c r="F83" s="3"/>
      <c r="G83" s="3"/>
      <c r="H83" s="8"/>
      <c r="I83" s="3"/>
      <c r="J83" s="3"/>
      <c r="K83" s="3"/>
      <c r="L83" s="3"/>
      <c r="M83" s="8"/>
      <c r="N83" s="3"/>
    </row>
    <row r="84" spans="1:14">
      <c r="A84" s="3"/>
      <c r="B84" s="3"/>
      <c r="C84" s="3"/>
      <c r="D84" s="3"/>
      <c r="E84" s="3"/>
      <c r="F84" s="3"/>
      <c r="G84" s="3"/>
      <c r="H84" s="8"/>
      <c r="I84" s="3"/>
      <c r="J84" s="3"/>
      <c r="K84" s="3"/>
      <c r="L84" s="3"/>
      <c r="M84" s="8"/>
      <c r="N84" s="3"/>
    </row>
    <row r="85" spans="1:14">
      <c r="A85" s="3"/>
      <c r="B85" s="3"/>
      <c r="C85" s="3"/>
      <c r="D85" s="3"/>
      <c r="E85" s="3"/>
      <c r="F85" s="3"/>
      <c r="G85" s="3"/>
      <c r="H85" s="8"/>
      <c r="I85" s="3"/>
      <c r="J85" s="3"/>
      <c r="K85" s="3"/>
      <c r="L85" s="3"/>
      <c r="M85" s="8"/>
      <c r="N85" s="3"/>
    </row>
    <row r="86" spans="1:14">
      <c r="A86" s="3"/>
      <c r="B86" s="3"/>
      <c r="C86" s="3"/>
      <c r="D86" s="3"/>
      <c r="E86" s="3"/>
      <c r="F86" s="3"/>
      <c r="G86" s="3"/>
      <c r="H86" s="8"/>
      <c r="I86" s="3"/>
      <c r="J86" s="3"/>
      <c r="K86" s="3"/>
      <c r="L86" s="3"/>
      <c r="M86" s="8"/>
      <c r="N86" s="3"/>
    </row>
    <row r="87" spans="1:14">
      <c r="H87" s="9"/>
      <c r="M87" s="9"/>
    </row>
    <row r="88" spans="1:14">
      <c r="H88" s="9"/>
      <c r="M88" s="9"/>
    </row>
    <row r="89" spans="1:14">
      <c r="H89" s="9"/>
      <c r="M89" s="9"/>
    </row>
    <row r="90" spans="1:14">
      <c r="H90" s="9"/>
      <c r="M90" s="9"/>
    </row>
    <row r="91" spans="1:14">
      <c r="H91" s="9"/>
      <c r="M91" s="9"/>
    </row>
    <row r="92" spans="1:14">
      <c r="H92" s="9"/>
      <c r="M92" s="9"/>
    </row>
    <row r="93" spans="1:14">
      <c r="H93" s="9"/>
      <c r="M93" s="9"/>
    </row>
    <row r="94" spans="1:14">
      <c r="H94" s="9"/>
      <c r="M94" s="9"/>
    </row>
    <row r="95" spans="1:14">
      <c r="H95" s="9"/>
      <c r="M95" s="9"/>
    </row>
    <row r="96" spans="1:14">
      <c r="H96" s="9"/>
      <c r="M96" s="9"/>
    </row>
    <row r="97" spans="8:13">
      <c r="H97" s="9"/>
      <c r="M97" s="9"/>
    </row>
    <row r="98" spans="8:13">
      <c r="H98" s="9"/>
      <c r="M98" s="9"/>
    </row>
    <row r="99" spans="8:13">
      <c r="H99" s="9"/>
      <c r="M99" s="9"/>
    </row>
    <row r="100" spans="8:13">
      <c r="H100" s="9"/>
      <c r="M100" s="9"/>
    </row>
    <row r="101" spans="8:13">
      <c r="H101" s="9"/>
      <c r="M101" s="9"/>
    </row>
    <row r="102" spans="8:13">
      <c r="H102" s="9"/>
      <c r="M102" s="9"/>
    </row>
    <row r="103" spans="8:13">
      <c r="H103" s="9"/>
      <c r="M103" s="9"/>
    </row>
    <row r="104" spans="8:13">
      <c r="H104" s="9"/>
      <c r="M104" s="9"/>
    </row>
    <row r="105" spans="8:13">
      <c r="H105" s="9"/>
      <c r="M105" s="9"/>
    </row>
    <row r="106" spans="8:13">
      <c r="H106" s="9"/>
      <c r="M106" s="9"/>
    </row>
    <row r="107" spans="8:13">
      <c r="H107" s="9"/>
      <c r="M107" s="9"/>
    </row>
    <row r="108" spans="8:13">
      <c r="H108" s="9"/>
      <c r="M108" s="9"/>
    </row>
    <row r="109" spans="8:13">
      <c r="H109" s="9"/>
      <c r="M109" s="9"/>
    </row>
    <row r="110" spans="8:13">
      <c r="H110" s="9"/>
      <c r="M110" s="9"/>
    </row>
    <row r="111" spans="8:13">
      <c r="H111" s="9"/>
      <c r="M111" s="9"/>
    </row>
    <row r="112" spans="8:13">
      <c r="H112" s="9"/>
      <c r="M112" s="9"/>
    </row>
    <row r="113" spans="8:13">
      <c r="H113" s="9"/>
      <c r="M113" s="9"/>
    </row>
    <row r="114" spans="8:13">
      <c r="H114" s="9"/>
      <c r="M114" s="9"/>
    </row>
    <row r="115" spans="8:13">
      <c r="H115" s="9"/>
      <c r="M115" s="9"/>
    </row>
    <row r="116" spans="8:13">
      <c r="H116" s="9"/>
      <c r="M116" s="9"/>
    </row>
    <row r="117" spans="8:13">
      <c r="H117" s="9"/>
      <c r="M117" s="9"/>
    </row>
    <row r="118" spans="8:13">
      <c r="H118" s="9"/>
      <c r="M118" s="9"/>
    </row>
    <row r="119" spans="8:13">
      <c r="H119" s="9"/>
      <c r="M119" s="9"/>
    </row>
    <row r="120" spans="8:13">
      <c r="H120" s="9"/>
      <c r="M120" s="9"/>
    </row>
    <row r="121" spans="8:13">
      <c r="H121" s="9"/>
      <c r="M121" s="9"/>
    </row>
    <row r="122" spans="8:13">
      <c r="H122" s="9"/>
      <c r="M122" s="9"/>
    </row>
    <row r="123" spans="8:13">
      <c r="H123" s="9"/>
      <c r="M123" s="9"/>
    </row>
    <row r="124" spans="8:13">
      <c r="H124" s="9"/>
      <c r="M124" s="9"/>
    </row>
    <row r="125" spans="8:13">
      <c r="H125" s="9"/>
      <c r="M125" s="9"/>
    </row>
    <row r="126" spans="8:13">
      <c r="H126" s="9"/>
      <c r="M126" s="9"/>
    </row>
    <row r="127" spans="8:13">
      <c r="H127" s="9"/>
      <c r="M127" s="9"/>
    </row>
    <row r="128" spans="8:13">
      <c r="H128" s="9"/>
      <c r="M128" s="9"/>
    </row>
    <row r="129" spans="8:13">
      <c r="H129" s="9"/>
      <c r="M129" s="9"/>
    </row>
    <row r="130" spans="8:13">
      <c r="H130" s="9"/>
      <c r="M130" s="9"/>
    </row>
    <row r="131" spans="8:13">
      <c r="H131" s="9"/>
      <c r="M131" s="9"/>
    </row>
    <row r="132" spans="8:13">
      <c r="H132" s="9"/>
      <c r="M132" s="9"/>
    </row>
    <row r="133" spans="8:13">
      <c r="H133" s="9"/>
      <c r="M133" s="9"/>
    </row>
    <row r="134" spans="8:13">
      <c r="H134" s="9"/>
      <c r="M134" s="9"/>
    </row>
    <row r="135" spans="8:13">
      <c r="H135" s="9"/>
      <c r="M135" s="9"/>
    </row>
    <row r="136" spans="8:13">
      <c r="H136" s="9"/>
      <c r="M136" s="9"/>
    </row>
    <row r="137" spans="8:13">
      <c r="H137" s="9"/>
      <c r="M137" s="9"/>
    </row>
    <row r="138" spans="8:13">
      <c r="H138" s="9"/>
      <c r="M138" s="9"/>
    </row>
    <row r="139" spans="8:13">
      <c r="H139" s="9"/>
      <c r="M139" s="9"/>
    </row>
    <row r="140" spans="8:13">
      <c r="H140" s="9"/>
      <c r="M140" s="9"/>
    </row>
    <row r="141" spans="8:13">
      <c r="H141" s="9"/>
      <c r="M141" s="9"/>
    </row>
    <row r="142" spans="8:13">
      <c r="H142" s="9"/>
      <c r="M142" s="9"/>
    </row>
    <row r="143" spans="8:13">
      <c r="H143" s="9"/>
      <c r="M143" s="9"/>
    </row>
    <row r="144" spans="8:13">
      <c r="H144" s="9"/>
      <c r="M144" s="9"/>
    </row>
    <row r="145" spans="8:13">
      <c r="H145" s="9"/>
      <c r="M145" s="9"/>
    </row>
    <row r="146" spans="8:13">
      <c r="H146" s="9"/>
      <c r="M146" s="9"/>
    </row>
    <row r="147" spans="8:13">
      <c r="H147" s="9"/>
      <c r="M147" s="9"/>
    </row>
    <row r="148" spans="8:13">
      <c r="H148" s="9"/>
      <c r="M148" s="9"/>
    </row>
    <row r="149" spans="8:13">
      <c r="H149" s="9"/>
      <c r="M149" s="9"/>
    </row>
    <row r="150" spans="8:13">
      <c r="H150" s="9"/>
      <c r="M150" s="9"/>
    </row>
  </sheetData>
  <mergeCells count="2">
    <mergeCell ref="A1:N1"/>
    <mergeCell ref="A2:N2"/>
  </mergeCells>
  <dataValidations count="4">
    <dataValidation type="list" sqref="B18:B86" xr:uid="{00000000-0002-0000-0C00-000000000000}">
      <formula1>"Issue,Decision,Assumption,Risk"</formula1>
    </dataValidation>
    <dataValidation type="list" sqref="E18:E86" xr:uid="{00000000-0002-0000-0C00-000001000000}">
      <formula1>"Loan,Borrower,Property,Payment,Escrow,Investor,Default,Compliance,Communication"</formula1>
    </dataValidation>
    <dataValidation type="list" sqref="F18:F86" xr:uid="{00000000-0002-0000-0C00-000002000000}">
      <formula1>"High,Medium,Low"</formula1>
    </dataValidation>
    <dataValidation type="list" sqref="I18:I86" xr:uid="{00000000-0002-0000-0C00-000003000000}">
      <formula1>"Open,In Progress,Blocked,Closed,Deferred"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50"/>
  <sheetViews>
    <sheetView zoomScaleNormal="100" zoomScaleSheetLayoutView="100" workbookViewId="0">
      <selection activeCell="B16" sqref="B16"/>
    </sheetView>
  </sheetViews>
  <sheetFormatPr defaultRowHeight="15"/>
  <cols>
    <col min="1" max="1" width="14" customWidth="1"/>
    <col min="2" max="2" width="28" customWidth="1"/>
    <col min="3" max="3" width="18" customWidth="1"/>
    <col min="4" max="4" width="22" customWidth="1"/>
    <col min="5" max="5" width="20" customWidth="1"/>
    <col min="6" max="6" width="18" customWidth="1"/>
    <col min="7" max="8" width="16" customWidth="1"/>
    <col min="9" max="9" width="42" customWidth="1"/>
    <col min="10" max="10" width="28" customWidth="1"/>
    <col min="11" max="11" width="36" customWidth="1"/>
  </cols>
  <sheetData>
    <row r="1" spans="1:11" ht="30" customHeight="1">
      <c r="A1" s="18" t="s">
        <v>38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24" customHeight="1">
      <c r="A2" s="19" t="s">
        <v>1182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spans="1:11" ht="33.950000000000003" customHeight="1">
      <c r="A4" s="2" t="s">
        <v>1183</v>
      </c>
      <c r="B4" s="2" t="s">
        <v>1184</v>
      </c>
      <c r="C4" s="2" t="s">
        <v>46</v>
      </c>
      <c r="D4" s="2" t="s">
        <v>1185</v>
      </c>
      <c r="E4" s="2" t="s">
        <v>1186</v>
      </c>
      <c r="F4" s="2" t="s">
        <v>1187</v>
      </c>
      <c r="G4" s="2" t="s">
        <v>1188</v>
      </c>
      <c r="H4" s="2" t="s">
        <v>1118</v>
      </c>
      <c r="I4" s="2" t="s">
        <v>1189</v>
      </c>
      <c r="J4" s="2" t="s">
        <v>1086</v>
      </c>
      <c r="K4" s="2" t="s">
        <v>84</v>
      </c>
    </row>
    <row r="5" spans="1:11" ht="0.75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14.25">
      <c r="A6" t="s">
        <v>1190</v>
      </c>
      <c r="B6" t="s">
        <v>17</v>
      </c>
      <c r="C6" t="s">
        <v>53</v>
      </c>
      <c r="D6" t="s">
        <v>1191</v>
      </c>
      <c r="E6" t="s">
        <v>90</v>
      </c>
      <c r="F6" t="s">
        <v>48</v>
      </c>
      <c r="G6" s="17">
        <v>46213</v>
      </c>
      <c r="H6" s="17">
        <v>46214</v>
      </c>
      <c r="I6" t="s">
        <v>1192</v>
      </c>
      <c r="J6" t="s">
        <v>1193</v>
      </c>
      <c r="K6" t="s">
        <v>1194</v>
      </c>
    </row>
    <row r="7" spans="1:11" ht="14.25">
      <c r="A7" t="s">
        <v>1195</v>
      </c>
      <c r="B7" t="s">
        <v>20</v>
      </c>
      <c r="C7" t="s">
        <v>62</v>
      </c>
      <c r="D7" t="s">
        <v>1196</v>
      </c>
      <c r="E7" t="s">
        <v>101</v>
      </c>
      <c r="F7" t="s">
        <v>48</v>
      </c>
      <c r="G7" s="17">
        <v>46213</v>
      </c>
      <c r="H7" s="17">
        <v>46215</v>
      </c>
      <c r="I7" t="s">
        <v>1197</v>
      </c>
      <c r="J7" t="s">
        <v>1198</v>
      </c>
      <c r="K7" t="s">
        <v>1199</v>
      </c>
    </row>
    <row r="8" spans="1:11" ht="14.25">
      <c r="A8" t="s">
        <v>1200</v>
      </c>
      <c r="B8" t="s">
        <v>32</v>
      </c>
      <c r="C8" t="s">
        <v>53</v>
      </c>
      <c r="D8" t="s">
        <v>1201</v>
      </c>
      <c r="E8" t="s">
        <v>682</v>
      </c>
      <c r="F8" t="s">
        <v>48</v>
      </c>
      <c r="G8" s="17">
        <v>46215</v>
      </c>
      <c r="H8" s="17">
        <v>46216</v>
      </c>
      <c r="I8" t="s">
        <v>1192</v>
      </c>
      <c r="J8" t="s">
        <v>1202</v>
      </c>
      <c r="K8" t="s">
        <v>1203</v>
      </c>
    </row>
    <row r="9" spans="1:11" ht="14.25">
      <c r="A9" t="s">
        <v>1204</v>
      </c>
      <c r="B9" t="s">
        <v>23</v>
      </c>
      <c r="C9" t="s">
        <v>516</v>
      </c>
      <c r="D9" t="s">
        <v>1205</v>
      </c>
      <c r="E9" t="s">
        <v>673</v>
      </c>
      <c r="F9" t="s">
        <v>48</v>
      </c>
      <c r="G9" s="17">
        <v>46215</v>
      </c>
      <c r="H9" s="17">
        <v>46216</v>
      </c>
      <c r="I9" t="s">
        <v>1206</v>
      </c>
      <c r="J9" t="s">
        <v>1207</v>
      </c>
      <c r="K9" t="s">
        <v>1208</v>
      </c>
    </row>
    <row r="10" spans="1:11" ht="14.25">
      <c r="A10" t="s">
        <v>1209</v>
      </c>
      <c r="B10" t="s">
        <v>29</v>
      </c>
      <c r="C10" t="s">
        <v>516</v>
      </c>
      <c r="D10" t="s">
        <v>1210</v>
      </c>
      <c r="E10" t="s">
        <v>90</v>
      </c>
      <c r="F10" t="s">
        <v>48</v>
      </c>
      <c r="G10" s="17">
        <v>46216</v>
      </c>
      <c r="H10" s="17">
        <v>46217</v>
      </c>
      <c r="I10" t="s">
        <v>1211</v>
      </c>
      <c r="J10" t="s">
        <v>1212</v>
      </c>
      <c r="K10" t="s">
        <v>1213</v>
      </c>
    </row>
    <row r="11" spans="1:11" ht="14.25">
      <c r="A11" t="s">
        <v>1214</v>
      </c>
      <c r="B11" t="s">
        <v>26</v>
      </c>
      <c r="C11" t="s">
        <v>62</v>
      </c>
      <c r="D11" t="s">
        <v>1196</v>
      </c>
      <c r="E11" t="s">
        <v>101</v>
      </c>
      <c r="F11" t="s">
        <v>48</v>
      </c>
      <c r="G11" s="17">
        <v>46216</v>
      </c>
      <c r="H11" s="17">
        <v>46217</v>
      </c>
      <c r="I11" t="s">
        <v>1192</v>
      </c>
      <c r="J11" t="s">
        <v>1215</v>
      </c>
      <c r="K11" t="s">
        <v>1216</v>
      </c>
    </row>
    <row r="12" spans="1:11" ht="14.25">
      <c r="A12" t="s">
        <v>1217</v>
      </c>
      <c r="B12" t="s">
        <v>14</v>
      </c>
      <c r="C12" t="s">
        <v>1218</v>
      </c>
      <c r="D12" t="s">
        <v>1210</v>
      </c>
      <c r="E12" t="s">
        <v>90</v>
      </c>
      <c r="F12" t="s">
        <v>48</v>
      </c>
      <c r="G12" s="17">
        <v>46217</v>
      </c>
      <c r="H12" s="17">
        <v>46218</v>
      </c>
      <c r="I12" t="s">
        <v>1192</v>
      </c>
      <c r="J12" t="s">
        <v>1219</v>
      </c>
      <c r="K12" t="s">
        <v>1220</v>
      </c>
    </row>
    <row r="13" spans="1:11" ht="14.25">
      <c r="A13" t="s">
        <v>1221</v>
      </c>
      <c r="B13" t="s">
        <v>1222</v>
      </c>
      <c r="C13" t="s">
        <v>1218</v>
      </c>
      <c r="D13" t="s">
        <v>1223</v>
      </c>
      <c r="E13" t="s">
        <v>111</v>
      </c>
      <c r="F13" t="s">
        <v>1224</v>
      </c>
      <c r="G13" s="17">
        <v>46218</v>
      </c>
      <c r="I13" t="s">
        <v>1225</v>
      </c>
      <c r="J13" t="s">
        <v>1226</v>
      </c>
      <c r="K13" t="s">
        <v>1227</v>
      </c>
    </row>
    <row r="14" spans="1:11">
      <c r="A14" s="3"/>
      <c r="B14" s="3"/>
      <c r="C14" s="3"/>
      <c r="D14" s="3"/>
      <c r="E14" s="3"/>
      <c r="F14" s="3"/>
      <c r="G14" s="8"/>
      <c r="H14" s="8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8"/>
      <c r="H15" s="8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8"/>
      <c r="H16" s="8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8"/>
      <c r="H17" s="8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8"/>
      <c r="H18" s="8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8"/>
      <c r="H19" s="8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8"/>
      <c r="H20" s="8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8"/>
      <c r="H21" s="8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8"/>
      <c r="H22" s="8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8"/>
      <c r="H23" s="8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8"/>
      <c r="H24" s="8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8"/>
      <c r="H25" s="8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8"/>
      <c r="H26" s="8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8"/>
      <c r="H27" s="8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8"/>
      <c r="H28" s="8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8"/>
      <c r="H29" s="8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8"/>
      <c r="H30" s="8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8"/>
      <c r="H31" s="8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8"/>
      <c r="H32" s="8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8"/>
      <c r="H33" s="8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8"/>
      <c r="H34" s="8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8"/>
      <c r="H35" s="8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8"/>
      <c r="H36" s="8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8"/>
      <c r="H37" s="8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8"/>
      <c r="H38" s="8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8"/>
      <c r="H39" s="8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8"/>
      <c r="H40" s="8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8"/>
      <c r="H41" s="8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8"/>
      <c r="H42" s="8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8"/>
      <c r="H43" s="8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8"/>
      <c r="H44" s="8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8"/>
      <c r="H45" s="8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8"/>
      <c r="H46" s="8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8"/>
      <c r="H47" s="8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8"/>
      <c r="H48" s="8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8"/>
      <c r="H49" s="8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8"/>
      <c r="H50" s="8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8"/>
      <c r="H51" s="8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8"/>
      <c r="H52" s="8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8"/>
      <c r="H53" s="8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8"/>
      <c r="H54" s="8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8"/>
      <c r="H55" s="8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8"/>
      <c r="H56" s="8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8"/>
      <c r="H57" s="8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8"/>
      <c r="H58" s="8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8"/>
      <c r="H59" s="8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8"/>
      <c r="H60" s="8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8"/>
      <c r="H61" s="8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8"/>
      <c r="H62" s="8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8"/>
      <c r="H63" s="8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8"/>
      <c r="H64" s="8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8"/>
      <c r="H65" s="8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8"/>
      <c r="H66" s="8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8"/>
      <c r="H67" s="8"/>
      <c r="I67" s="3"/>
      <c r="J67" s="3"/>
      <c r="K67" s="3"/>
    </row>
    <row r="68" spans="1:11">
      <c r="G68" s="9"/>
      <c r="H68" s="9"/>
    </row>
    <row r="69" spans="1:11">
      <c r="G69" s="9"/>
      <c r="H69" s="9"/>
    </row>
    <row r="70" spans="1:11">
      <c r="G70" s="9"/>
      <c r="H70" s="9"/>
    </row>
    <row r="71" spans="1:11">
      <c r="G71" s="9"/>
      <c r="H71" s="9"/>
    </row>
    <row r="72" spans="1:11">
      <c r="G72" s="9"/>
      <c r="H72" s="9"/>
    </row>
    <row r="73" spans="1:11">
      <c r="G73" s="9"/>
      <c r="H73" s="9"/>
    </row>
    <row r="74" spans="1:11">
      <c r="G74" s="9"/>
      <c r="H74" s="9"/>
    </row>
    <row r="75" spans="1:11">
      <c r="G75" s="9"/>
      <c r="H75" s="9"/>
    </row>
    <row r="76" spans="1:11">
      <c r="G76" s="9"/>
      <c r="H76" s="9"/>
    </row>
    <row r="77" spans="1:11">
      <c r="G77" s="9"/>
      <c r="H77" s="9"/>
    </row>
    <row r="78" spans="1:11">
      <c r="G78" s="9"/>
      <c r="H78" s="9"/>
    </row>
    <row r="79" spans="1:11">
      <c r="G79" s="9"/>
      <c r="H79" s="9"/>
    </row>
    <row r="80" spans="1:11">
      <c r="G80" s="9"/>
      <c r="H80" s="9"/>
    </row>
    <row r="81" spans="7:8">
      <c r="G81" s="9"/>
      <c r="H81" s="9"/>
    </row>
    <row r="82" spans="7:8">
      <c r="G82" s="9"/>
      <c r="H82" s="9"/>
    </row>
    <row r="83" spans="7:8">
      <c r="G83" s="9"/>
      <c r="H83" s="9"/>
    </row>
    <row r="84" spans="7:8">
      <c r="G84" s="9"/>
      <c r="H84" s="9"/>
    </row>
    <row r="85" spans="7:8">
      <c r="G85" s="9"/>
      <c r="H85" s="9"/>
    </row>
    <row r="86" spans="7:8">
      <c r="G86" s="9"/>
      <c r="H86" s="9"/>
    </row>
    <row r="87" spans="7:8">
      <c r="G87" s="9"/>
      <c r="H87" s="9"/>
    </row>
    <row r="88" spans="7:8">
      <c r="G88" s="9"/>
      <c r="H88" s="9"/>
    </row>
    <row r="89" spans="7:8">
      <c r="G89" s="9"/>
      <c r="H89" s="9"/>
    </row>
    <row r="90" spans="7:8">
      <c r="G90" s="9"/>
      <c r="H90" s="9"/>
    </row>
    <row r="91" spans="7:8">
      <c r="G91" s="9"/>
      <c r="H91" s="9"/>
    </row>
    <row r="92" spans="7:8">
      <c r="G92" s="9"/>
      <c r="H92" s="9"/>
    </row>
    <row r="93" spans="7:8">
      <c r="G93" s="9"/>
      <c r="H93" s="9"/>
    </row>
    <row r="94" spans="7:8">
      <c r="G94" s="9"/>
      <c r="H94" s="9"/>
    </row>
    <row r="95" spans="7:8">
      <c r="G95" s="9"/>
      <c r="H95" s="9"/>
    </row>
    <row r="96" spans="7:8">
      <c r="G96" s="9"/>
      <c r="H96" s="9"/>
    </row>
    <row r="97" spans="7:8">
      <c r="G97" s="9"/>
      <c r="H97" s="9"/>
    </row>
    <row r="98" spans="7:8">
      <c r="G98" s="9"/>
      <c r="H98" s="9"/>
    </row>
    <row r="99" spans="7:8">
      <c r="G99" s="9"/>
      <c r="H99" s="9"/>
    </row>
    <row r="100" spans="7:8">
      <c r="G100" s="9"/>
      <c r="H100" s="9"/>
    </row>
    <row r="101" spans="7:8">
      <c r="G101" s="9"/>
      <c r="H101" s="9"/>
    </row>
    <row r="102" spans="7:8">
      <c r="G102" s="9"/>
      <c r="H102" s="9"/>
    </row>
    <row r="103" spans="7:8">
      <c r="G103" s="9"/>
      <c r="H103" s="9"/>
    </row>
    <row r="104" spans="7:8">
      <c r="G104" s="9"/>
      <c r="H104" s="9"/>
    </row>
    <row r="105" spans="7:8">
      <c r="G105" s="9"/>
      <c r="H105" s="9"/>
    </row>
    <row r="106" spans="7:8">
      <c r="G106" s="9"/>
      <c r="H106" s="9"/>
    </row>
    <row r="107" spans="7:8">
      <c r="G107" s="9"/>
      <c r="H107" s="9"/>
    </row>
    <row r="108" spans="7:8">
      <c r="G108" s="9"/>
      <c r="H108" s="9"/>
    </row>
    <row r="109" spans="7:8">
      <c r="G109" s="9"/>
      <c r="H109" s="9"/>
    </row>
    <row r="110" spans="7:8">
      <c r="G110" s="9"/>
      <c r="H110" s="9"/>
    </row>
    <row r="111" spans="7:8">
      <c r="G111" s="9"/>
      <c r="H111" s="9"/>
    </row>
    <row r="112" spans="7:8">
      <c r="G112" s="9"/>
      <c r="H112" s="9"/>
    </row>
    <row r="113" spans="7:8">
      <c r="G113" s="9"/>
      <c r="H113" s="9"/>
    </row>
    <row r="114" spans="7:8">
      <c r="G114" s="9"/>
      <c r="H114" s="9"/>
    </row>
    <row r="115" spans="7:8">
      <c r="G115" s="9"/>
      <c r="H115" s="9"/>
    </row>
    <row r="116" spans="7:8">
      <c r="G116" s="9"/>
      <c r="H116" s="9"/>
    </row>
    <row r="117" spans="7:8">
      <c r="G117" s="9"/>
      <c r="H117" s="9"/>
    </row>
    <row r="118" spans="7:8">
      <c r="G118" s="9"/>
      <c r="H118" s="9"/>
    </row>
    <row r="119" spans="7:8">
      <c r="G119" s="9"/>
      <c r="H119" s="9"/>
    </row>
    <row r="120" spans="7:8">
      <c r="G120" s="9"/>
      <c r="H120" s="9"/>
    </row>
    <row r="121" spans="7:8">
      <c r="G121" s="9"/>
      <c r="H121" s="9"/>
    </row>
    <row r="122" spans="7:8">
      <c r="G122" s="9"/>
      <c r="H122" s="9"/>
    </row>
    <row r="123" spans="7:8">
      <c r="G123" s="9"/>
      <c r="H123" s="9"/>
    </row>
    <row r="124" spans="7:8">
      <c r="G124" s="9"/>
      <c r="H124" s="9"/>
    </row>
    <row r="125" spans="7:8">
      <c r="G125" s="9"/>
      <c r="H125" s="9"/>
    </row>
    <row r="126" spans="7:8">
      <c r="G126" s="9"/>
      <c r="H126" s="9"/>
    </row>
    <row r="127" spans="7:8">
      <c r="G127" s="9"/>
      <c r="H127" s="9"/>
    </row>
    <row r="128" spans="7:8">
      <c r="G128" s="9"/>
      <c r="H128" s="9"/>
    </row>
    <row r="129" spans="7:8">
      <c r="G129" s="9"/>
      <c r="H129" s="9"/>
    </row>
    <row r="130" spans="7:8">
      <c r="G130" s="9"/>
      <c r="H130" s="9"/>
    </row>
    <row r="131" spans="7:8">
      <c r="G131" s="9"/>
      <c r="H131" s="9"/>
    </row>
    <row r="132" spans="7:8">
      <c r="G132" s="9"/>
      <c r="H132" s="9"/>
    </row>
    <row r="133" spans="7:8">
      <c r="G133" s="9"/>
      <c r="H133" s="9"/>
    </row>
    <row r="134" spans="7:8">
      <c r="G134" s="9"/>
      <c r="H134" s="9"/>
    </row>
    <row r="135" spans="7:8">
      <c r="G135" s="9"/>
      <c r="H135" s="9"/>
    </row>
    <row r="136" spans="7:8">
      <c r="G136" s="9"/>
      <c r="H136" s="9"/>
    </row>
    <row r="137" spans="7:8">
      <c r="G137" s="9"/>
      <c r="H137" s="9"/>
    </row>
    <row r="138" spans="7:8">
      <c r="G138" s="9"/>
      <c r="H138" s="9"/>
    </row>
    <row r="139" spans="7:8">
      <c r="G139" s="9"/>
      <c r="H139" s="9"/>
    </row>
    <row r="140" spans="7:8">
      <c r="G140" s="9"/>
      <c r="H140" s="9"/>
    </row>
    <row r="141" spans="7:8">
      <c r="G141" s="9"/>
      <c r="H141" s="9"/>
    </row>
    <row r="142" spans="7:8">
      <c r="G142" s="9"/>
      <c r="H142" s="9"/>
    </row>
    <row r="143" spans="7:8">
      <c r="G143" s="9"/>
      <c r="H143" s="9"/>
    </row>
    <row r="144" spans="7:8">
      <c r="G144" s="9"/>
      <c r="H144" s="9"/>
    </row>
    <row r="145" spans="7:8">
      <c r="G145" s="9"/>
      <c r="H145" s="9"/>
    </row>
    <row r="146" spans="7:8">
      <c r="G146" s="9"/>
      <c r="H146" s="9"/>
    </row>
    <row r="147" spans="7:8">
      <c r="G147" s="9"/>
      <c r="H147" s="9"/>
    </row>
    <row r="148" spans="7:8">
      <c r="G148" s="9"/>
      <c r="H148" s="9"/>
    </row>
    <row r="149" spans="7:8">
      <c r="G149" s="9"/>
      <c r="H149" s="9"/>
    </row>
    <row r="150" spans="7:8">
      <c r="G150" s="9"/>
      <c r="H150" s="9"/>
    </row>
  </sheetData>
  <mergeCells count="2">
    <mergeCell ref="A1:K1"/>
    <mergeCell ref="A2:K2"/>
  </mergeCells>
  <dataValidations count="2">
    <dataValidation type="list" sqref="C14:C67" xr:uid="{00000000-0002-0000-0D00-000000000000}">
      <formula1>"Loan,Borrower,Property,Payment,Escrow,Investor,Default,Compliance,Communication"</formula1>
    </dataValidation>
    <dataValidation type="list" sqref="F14:F67" xr:uid="{00000000-0002-0000-0D00-000001000000}">
      <formula1>"Not Started,In Review,Approved,Approved with Conditions,Rejected,Deferred"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tabSelected="1" zoomScaleNormal="100" zoomScaleSheetLayoutView="100" workbookViewId="0">
      <selection activeCell="B6" sqref="B6"/>
    </sheetView>
  </sheetViews>
  <sheetFormatPr defaultRowHeight="15"/>
  <cols>
    <col min="1" max="10" width="22" customWidth="1"/>
  </cols>
  <sheetData>
    <row r="1" spans="1:10" ht="30" customHeight="1">
      <c r="A1" s="18" t="s">
        <v>1228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24" customHeight="1">
      <c r="A2" s="19" t="s">
        <v>1229</v>
      </c>
      <c r="B2" s="23"/>
      <c r="C2" s="23"/>
      <c r="D2" s="23"/>
      <c r="E2" s="23"/>
      <c r="F2" s="23"/>
      <c r="G2" s="23"/>
      <c r="H2" s="23"/>
      <c r="I2" s="23"/>
      <c r="J2" s="23"/>
    </row>
    <row r="4" spans="1:10">
      <c r="A4" s="4" t="s">
        <v>665</v>
      </c>
      <c r="B4" s="4" t="s">
        <v>484</v>
      </c>
      <c r="C4" s="4" t="s">
        <v>590</v>
      </c>
      <c r="D4" s="4" t="s">
        <v>81</v>
      </c>
      <c r="E4" s="4" t="s">
        <v>46</v>
      </c>
      <c r="F4" s="4" t="s">
        <v>663</v>
      </c>
      <c r="G4" s="4" t="s">
        <v>1020</v>
      </c>
      <c r="H4" s="4" t="s">
        <v>1230</v>
      </c>
      <c r="I4" s="4" t="s">
        <v>839</v>
      </c>
      <c r="J4" s="4" t="s">
        <v>76</v>
      </c>
    </row>
    <row r="5" spans="1:10">
      <c r="A5" s="1" t="s">
        <v>544</v>
      </c>
      <c r="B5" s="1" t="s">
        <v>544</v>
      </c>
      <c r="C5" s="1" t="s">
        <v>597</v>
      </c>
      <c r="D5" s="1" t="s">
        <v>1231</v>
      </c>
      <c r="E5" s="1" t="s">
        <v>53</v>
      </c>
      <c r="F5" s="1" t="s">
        <v>672</v>
      </c>
      <c r="G5" s="1" t="s">
        <v>1027</v>
      </c>
      <c r="H5" s="1" t="s">
        <v>51</v>
      </c>
      <c r="I5" s="1" t="s">
        <v>1024</v>
      </c>
      <c r="J5" s="1" t="s">
        <v>87</v>
      </c>
    </row>
    <row r="6" spans="1:10">
      <c r="A6" s="1" t="s">
        <v>503</v>
      </c>
      <c r="B6" s="1" t="s">
        <v>503</v>
      </c>
      <c r="C6" s="1" t="s">
        <v>634</v>
      </c>
      <c r="D6" s="1" t="s">
        <v>204</v>
      </c>
      <c r="E6" s="1" t="s">
        <v>56</v>
      </c>
      <c r="F6" s="1" t="s">
        <v>702</v>
      </c>
      <c r="G6" s="1" t="s">
        <v>1050</v>
      </c>
      <c r="H6" s="1" t="s">
        <v>1134</v>
      </c>
      <c r="I6" s="1" t="s">
        <v>1056</v>
      </c>
      <c r="J6" s="1" t="s">
        <v>98</v>
      </c>
    </row>
    <row r="7" spans="1:10">
      <c r="A7" s="1" t="s">
        <v>1232</v>
      </c>
      <c r="B7" s="1" t="s">
        <v>48</v>
      </c>
      <c r="C7" s="1" t="s">
        <v>1233</v>
      </c>
      <c r="D7" s="1" t="s">
        <v>195</v>
      </c>
      <c r="E7" s="1" t="s">
        <v>59</v>
      </c>
      <c r="F7" s="1" t="s">
        <v>1234</v>
      </c>
      <c r="G7" s="1" t="s">
        <v>1145</v>
      </c>
      <c r="H7" s="1" t="s">
        <v>1235</v>
      </c>
      <c r="I7" s="1" t="s">
        <v>1032</v>
      </c>
      <c r="J7" s="1" t="s">
        <v>1236</v>
      </c>
    </row>
    <row r="8" spans="1:10">
      <c r="A8" s="1" t="s">
        <v>1237</v>
      </c>
      <c r="B8" s="1" t="s">
        <v>1238</v>
      </c>
      <c r="C8" s="1" t="s">
        <v>1239</v>
      </c>
      <c r="D8" s="1" t="s">
        <v>123</v>
      </c>
      <c r="E8" s="1" t="s">
        <v>62</v>
      </c>
      <c r="F8" s="1" t="s">
        <v>70</v>
      </c>
      <c r="H8" s="1" t="s">
        <v>987</v>
      </c>
      <c r="I8" s="1" t="s">
        <v>1039</v>
      </c>
      <c r="J8" s="1" t="s">
        <v>1240</v>
      </c>
    </row>
    <row r="9" spans="1:10">
      <c r="A9" s="1" t="s">
        <v>48</v>
      </c>
      <c r="B9" s="1" t="s">
        <v>1241</v>
      </c>
      <c r="D9" s="1" t="s">
        <v>92</v>
      </c>
      <c r="E9" s="1" t="s">
        <v>65</v>
      </c>
      <c r="F9" s="1" t="s">
        <v>680</v>
      </c>
      <c r="H9" s="1" t="s">
        <v>1241</v>
      </c>
      <c r="I9" s="1" t="s">
        <v>1242</v>
      </c>
      <c r="J9" s="1" t="s">
        <v>108</v>
      </c>
    </row>
    <row r="10" spans="1:10">
      <c r="A10" s="1" t="s">
        <v>49</v>
      </c>
      <c r="D10" s="1" t="s">
        <v>1243</v>
      </c>
      <c r="E10" s="1" t="s">
        <v>68</v>
      </c>
      <c r="F10" s="1" t="s">
        <v>1244</v>
      </c>
      <c r="I10" s="1" t="s">
        <v>1245</v>
      </c>
      <c r="J10" s="1" t="s">
        <v>1246</v>
      </c>
    </row>
    <row r="11" spans="1:10">
      <c r="A11" s="1" t="s">
        <v>50</v>
      </c>
      <c r="E11" s="1" t="s">
        <v>70</v>
      </c>
      <c r="F11" s="1" t="s">
        <v>1247</v>
      </c>
      <c r="I11" s="1" t="s">
        <v>1044</v>
      </c>
      <c r="J11" s="1" t="s">
        <v>140</v>
      </c>
    </row>
    <row r="12" spans="1:10">
      <c r="A12" s="1" t="s">
        <v>1241</v>
      </c>
      <c r="E12" s="1" t="s">
        <v>71</v>
      </c>
      <c r="I12" s="1" t="s">
        <v>680</v>
      </c>
      <c r="J12" s="1" t="s">
        <v>1248</v>
      </c>
    </row>
    <row r="13" spans="1:10">
      <c r="A13" s="1" t="s">
        <v>1249</v>
      </c>
      <c r="E13" s="1" t="s">
        <v>72</v>
      </c>
      <c r="I13" s="1" t="s">
        <v>1250</v>
      </c>
    </row>
  </sheetData>
  <mergeCells count="2">
    <mergeCell ref="A1:J1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2026-07-06T17:32:03Z</dcterms:created>
  <dcterms:modified xsi:type="dcterms:W3CDTF">2026-07-07T17:49:22Z</dcterms:modified>
  <cp:category/>
  <cp:contentStatus/>
</cp:coreProperties>
</file>